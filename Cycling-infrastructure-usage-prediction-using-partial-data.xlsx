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17441_ad_unsw_edu_au/Documents/Personal/CV/Counsulting/developed tools/"/>
    </mc:Choice>
  </mc:AlternateContent>
  <xr:revisionPtr revIDLastSave="8" documentId="13_ncr:1_{DB3E1792-B16E-4BB5-AEA7-23B8BCECE764}" xr6:coauthVersionLast="47" xr6:coauthVersionMax="47" xr10:uidLastSave="{791D9365-F8A7-4731-B67D-55D22454EA39}"/>
  <bookViews>
    <workbookView xWindow="-23148" yWindow="-108" windowWidth="23256" windowHeight="12576" xr2:uid="{22AFAE96-5AB9-4C1D-B1E4-27E02F6ECDF7}"/>
  </bookViews>
  <sheets>
    <sheet name="Cycling usage estimation" sheetId="1" r:id="rId1"/>
    <sheet name="analysis" sheetId="6" state="hidden" r:id="rId2"/>
    <sheet name="Models" sheetId="3" state="hidden" r:id="rId3"/>
    <sheet name="weather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5" l="1"/>
  <c r="D14" i="5" s="1"/>
  <c r="F12" i="5" l="1"/>
  <c r="E9" i="5"/>
  <c r="D6" i="5"/>
  <c r="C14" i="5"/>
  <c r="E12" i="5"/>
  <c r="D9" i="5"/>
  <c r="F7" i="5"/>
  <c r="E4" i="5"/>
  <c r="C3" i="5"/>
  <c r="D12" i="5"/>
  <c r="F10" i="5"/>
  <c r="C9" i="5"/>
  <c r="E7" i="5"/>
  <c r="B6" i="5"/>
  <c r="D4" i="5"/>
  <c r="F13" i="5"/>
  <c r="C12" i="5"/>
  <c r="E10" i="5"/>
  <c r="B9" i="5"/>
  <c r="D7" i="5"/>
  <c r="F5" i="5"/>
  <c r="C4" i="5"/>
  <c r="F11" i="5"/>
  <c r="E8" i="5"/>
  <c r="B7" i="5"/>
  <c r="F14" i="5"/>
  <c r="B3" i="5"/>
  <c r="C13" i="5"/>
  <c r="E11" i="5"/>
  <c r="B10" i="5"/>
  <c r="D8" i="5"/>
  <c r="F6" i="5"/>
  <c r="C5" i="5"/>
  <c r="E14" i="5"/>
  <c r="E3" i="5"/>
  <c r="C11" i="5"/>
  <c r="B8" i="5"/>
  <c r="F4" i="5"/>
  <c r="D3" i="5"/>
  <c r="B11" i="5"/>
  <c r="C6" i="5"/>
  <c r="B14" i="5"/>
  <c r="E13" i="5"/>
  <c r="B12" i="5"/>
  <c r="D10" i="5"/>
  <c r="F8" i="5"/>
  <c r="C7" i="5"/>
  <c r="E5" i="5"/>
  <c r="B4" i="5"/>
  <c r="D13" i="5"/>
  <c r="C10" i="5"/>
  <c r="D5" i="5"/>
  <c r="F3" i="5"/>
  <c r="B13" i="5"/>
  <c r="D11" i="5"/>
  <c r="F9" i="5"/>
  <c r="C8" i="5"/>
  <c r="E6" i="5"/>
  <c r="B5" i="5"/>
  <c r="M91" i="5"/>
  <c r="N91" i="5"/>
  <c r="O91" i="5"/>
  <c r="P91" i="5"/>
  <c r="Q91" i="5"/>
  <c r="M92" i="5"/>
  <c r="N92" i="5"/>
  <c r="O92" i="5"/>
  <c r="P92" i="5"/>
  <c r="Q92" i="5"/>
  <c r="M93" i="5"/>
  <c r="N93" i="5"/>
  <c r="O93" i="5"/>
  <c r="P93" i="5"/>
  <c r="Q93" i="5"/>
  <c r="M94" i="5"/>
  <c r="N94" i="5"/>
  <c r="O94" i="5"/>
  <c r="P94" i="5"/>
  <c r="Q94" i="5"/>
  <c r="M95" i="5"/>
  <c r="N95" i="5"/>
  <c r="O95" i="5"/>
  <c r="P95" i="5"/>
  <c r="Q95" i="5"/>
  <c r="M96" i="5"/>
  <c r="N96" i="5"/>
  <c r="O96" i="5"/>
  <c r="P96" i="5"/>
  <c r="Q96" i="5"/>
  <c r="M97" i="5"/>
  <c r="N97" i="5"/>
  <c r="O97" i="5"/>
  <c r="P97" i="5"/>
  <c r="Q97" i="5"/>
  <c r="M98" i="5"/>
  <c r="N98" i="5"/>
  <c r="O98" i="5"/>
  <c r="P98" i="5"/>
  <c r="Q98" i="5"/>
  <c r="M99" i="5"/>
  <c r="N99" i="5"/>
  <c r="O99" i="5"/>
  <c r="P99" i="5"/>
  <c r="Q99" i="5"/>
  <c r="M100" i="5"/>
  <c r="N100" i="5"/>
  <c r="O100" i="5"/>
  <c r="P100" i="5"/>
  <c r="Q100" i="5"/>
  <c r="M101" i="5"/>
  <c r="N101" i="5"/>
  <c r="O101" i="5"/>
  <c r="P101" i="5"/>
  <c r="Q101" i="5"/>
  <c r="N90" i="5"/>
  <c r="O90" i="5"/>
  <c r="P90" i="5"/>
  <c r="Q90" i="5"/>
  <c r="M90" i="5"/>
  <c r="J2" i="6"/>
  <c r="B2" i="6"/>
  <c r="C33" i="1" l="1"/>
  <c r="C32" i="1"/>
  <c r="O32" i="1"/>
  <c r="E32" i="1"/>
  <c r="F32" i="1"/>
  <c r="G32" i="1"/>
  <c r="H32" i="1"/>
  <c r="I32" i="1"/>
  <c r="J32" i="1"/>
  <c r="K32" i="1"/>
  <c r="L32" i="1"/>
  <c r="M32" i="1"/>
  <c r="N32" i="1"/>
  <c r="D32" i="1"/>
  <c r="B45" i="6" l="1"/>
  <c r="B46" i="6"/>
  <c r="B47" i="6"/>
  <c r="B48" i="6"/>
  <c r="B49" i="6"/>
  <c r="B50" i="6"/>
  <c r="B51" i="6"/>
  <c r="B52" i="6"/>
  <c r="B53" i="6"/>
  <c r="B54" i="6"/>
  <c r="B55" i="6"/>
  <c r="B44" i="6"/>
  <c r="F21" i="5" l="1"/>
  <c r="F22" i="5"/>
  <c r="F23" i="5"/>
  <c r="F24" i="5"/>
  <c r="F25" i="5"/>
  <c r="F26" i="5"/>
  <c r="F27" i="5"/>
  <c r="F28" i="5"/>
  <c r="F29" i="5"/>
  <c r="F30" i="5"/>
  <c r="F31" i="5"/>
  <c r="F20" i="5"/>
  <c r="E21" i="5"/>
  <c r="E22" i="5"/>
  <c r="E23" i="5"/>
  <c r="E24" i="5"/>
  <c r="E25" i="5"/>
  <c r="E26" i="5"/>
  <c r="E27" i="5"/>
  <c r="E28" i="5"/>
  <c r="E29" i="5"/>
  <c r="E30" i="5"/>
  <c r="E31" i="5"/>
  <c r="E20" i="5"/>
  <c r="D21" i="5"/>
  <c r="D22" i="5"/>
  <c r="D23" i="5"/>
  <c r="D24" i="5"/>
  <c r="D25" i="5"/>
  <c r="D26" i="5"/>
  <c r="D27" i="5"/>
  <c r="D28" i="5"/>
  <c r="D29" i="5"/>
  <c r="D30" i="5"/>
  <c r="D31" i="5"/>
  <c r="D20" i="5"/>
  <c r="C21" i="5"/>
  <c r="C22" i="5"/>
  <c r="C23" i="5"/>
  <c r="C24" i="5"/>
  <c r="C25" i="5"/>
  <c r="C26" i="5"/>
  <c r="C27" i="5"/>
  <c r="C28" i="5"/>
  <c r="C29" i="5"/>
  <c r="C30" i="5"/>
  <c r="C31" i="5"/>
  <c r="C20" i="5"/>
  <c r="B21" i="5"/>
  <c r="B22" i="5"/>
  <c r="B23" i="5"/>
  <c r="B24" i="5"/>
  <c r="B25" i="5"/>
  <c r="B26" i="5"/>
  <c r="B27" i="5"/>
  <c r="B28" i="5"/>
  <c r="B29" i="5"/>
  <c r="B30" i="5"/>
  <c r="B31" i="5"/>
  <c r="B20" i="5"/>
  <c r="D2" i="6"/>
  <c r="E2" i="6"/>
  <c r="C2" i="6"/>
  <c r="F2" i="6" l="1"/>
  <c r="F5" i="6"/>
  <c r="I12" i="6"/>
  <c r="F12" i="6"/>
  <c r="C12" i="6"/>
  <c r="C6" i="6"/>
  <c r="I6" i="6"/>
  <c r="F6" i="6"/>
  <c r="I13" i="6"/>
  <c r="F13" i="6"/>
  <c r="C13" i="6"/>
  <c r="F11" i="6"/>
  <c r="C11" i="6"/>
  <c r="I11" i="6"/>
  <c r="F10" i="6"/>
  <c r="C10" i="6"/>
  <c r="I10" i="6"/>
  <c r="C14" i="6"/>
  <c r="I14" i="6"/>
  <c r="F14" i="6"/>
  <c r="F9" i="6"/>
  <c r="C9" i="6"/>
  <c r="I9" i="6"/>
  <c r="C16" i="6"/>
  <c r="I16" i="6"/>
  <c r="F16" i="6"/>
  <c r="C8" i="6"/>
  <c r="I8" i="6"/>
  <c r="F8" i="6"/>
  <c r="C15" i="6"/>
  <c r="I15" i="6"/>
  <c r="F15" i="6"/>
  <c r="C7" i="6"/>
  <c r="I7" i="6"/>
  <c r="F7" i="6"/>
  <c r="C5" i="6"/>
  <c r="I5" i="6"/>
  <c r="I20" i="6" l="1"/>
  <c r="I28" i="6" s="1"/>
  <c r="H20" i="6"/>
  <c r="H37" i="6" s="1"/>
  <c r="E20" i="6"/>
  <c r="E28" i="6" s="1"/>
  <c r="D45" i="6" s="1"/>
  <c r="J67" i="6" s="1"/>
  <c r="J71" i="6" s="1"/>
  <c r="E36" i="1" s="1"/>
  <c r="I37" i="6" l="1"/>
  <c r="I36" i="6"/>
  <c r="I29" i="6"/>
  <c r="I30" i="6"/>
  <c r="I31" i="6"/>
  <c r="I35" i="6"/>
  <c r="I38" i="6"/>
  <c r="I33" i="6"/>
  <c r="I32" i="6"/>
  <c r="I34" i="6"/>
  <c r="I27" i="6"/>
  <c r="H35" i="6"/>
  <c r="H29" i="6"/>
  <c r="H32" i="6"/>
  <c r="H33" i="6"/>
  <c r="H38" i="6"/>
  <c r="H27" i="6"/>
  <c r="H30" i="6"/>
  <c r="H28" i="6"/>
  <c r="C28" i="6" s="1"/>
  <c r="H34" i="6"/>
  <c r="H31" i="6"/>
  <c r="C20" i="6"/>
  <c r="H36" i="6"/>
  <c r="E35" i="6"/>
  <c r="D52" i="6" s="1"/>
  <c r="Q67" i="6" s="1"/>
  <c r="Q71" i="6" s="1"/>
  <c r="L36" i="1" s="1"/>
  <c r="E34" i="6"/>
  <c r="D51" i="6" s="1"/>
  <c r="P67" i="6" s="1"/>
  <c r="P71" i="6" s="1"/>
  <c r="K36" i="1" s="1"/>
  <c r="E27" i="6"/>
  <c r="D44" i="6" s="1"/>
  <c r="I67" i="6" s="1"/>
  <c r="I71" i="6" s="1"/>
  <c r="D36" i="1" s="1"/>
  <c r="E30" i="6"/>
  <c r="D47" i="6" s="1"/>
  <c r="L67" i="6" s="1"/>
  <c r="L71" i="6" s="1"/>
  <c r="G36" i="1" s="1"/>
  <c r="E37" i="6"/>
  <c r="D54" i="6" s="1"/>
  <c r="S67" i="6" s="1"/>
  <c r="S71" i="6" s="1"/>
  <c r="N36" i="1" s="1"/>
  <c r="E32" i="6"/>
  <c r="D49" i="6" s="1"/>
  <c r="N67" i="6" s="1"/>
  <c r="N71" i="6" s="1"/>
  <c r="I36" i="1" s="1"/>
  <c r="E31" i="6"/>
  <c r="D48" i="6" s="1"/>
  <c r="M67" i="6" s="1"/>
  <c r="M71" i="6" s="1"/>
  <c r="H36" i="1" s="1"/>
  <c r="E38" i="6"/>
  <c r="D55" i="6" s="1"/>
  <c r="T67" i="6" s="1"/>
  <c r="T71" i="6" s="1"/>
  <c r="O36" i="1" s="1"/>
  <c r="E36" i="6"/>
  <c r="D53" i="6" s="1"/>
  <c r="R67" i="6" s="1"/>
  <c r="R71" i="6" s="1"/>
  <c r="M36" i="1" s="1"/>
  <c r="E29" i="6"/>
  <c r="D46" i="6" s="1"/>
  <c r="K67" i="6" s="1"/>
  <c r="K71" i="6" s="1"/>
  <c r="F36" i="1" s="1"/>
  <c r="E33" i="6"/>
  <c r="D50" i="6" s="1"/>
  <c r="O67" i="6" s="1"/>
  <c r="O71" i="6" s="1"/>
  <c r="J36" i="1" s="1"/>
  <c r="C34" i="6" l="1"/>
  <c r="C51" i="6" s="1"/>
  <c r="P66" i="6" s="1"/>
  <c r="P70" i="6" s="1"/>
  <c r="K35" i="1" s="1"/>
  <c r="C33" i="6"/>
  <c r="C50" i="6" s="1"/>
  <c r="O66" i="6" s="1"/>
  <c r="O70" i="6" s="1"/>
  <c r="J35" i="1" s="1"/>
  <c r="C35" i="6"/>
  <c r="C52" i="6" s="1"/>
  <c r="C36" i="6"/>
  <c r="C53" i="6" s="1"/>
  <c r="C27" i="6"/>
  <c r="C44" i="6" s="1"/>
  <c r="I66" i="6" s="1"/>
  <c r="C29" i="6"/>
  <c r="C46" i="6" s="1"/>
  <c r="C38" i="6"/>
  <c r="C55" i="6" s="1"/>
  <c r="C31" i="6"/>
  <c r="C48" i="6" s="1"/>
  <c r="C30" i="6"/>
  <c r="C47" i="6" s="1"/>
  <c r="J47" i="6" s="1"/>
  <c r="L61" i="6" s="1"/>
  <c r="L64" i="6" s="1"/>
  <c r="G33" i="1" s="1"/>
  <c r="C32" i="6"/>
  <c r="C49" i="6" s="1"/>
  <c r="C37" i="6"/>
  <c r="C54" i="6" s="1"/>
  <c r="S66" i="6" s="1"/>
  <c r="S70" i="6" s="1"/>
  <c r="N35" i="1" s="1"/>
  <c r="C45" i="6"/>
  <c r="J54" i="6" l="1"/>
  <c r="S61" i="6" s="1"/>
  <c r="S64" i="6" s="1"/>
  <c r="N33" i="1" s="1"/>
  <c r="N66" i="6"/>
  <c r="N70" i="6" s="1"/>
  <c r="I35" i="1" s="1"/>
  <c r="J49" i="6"/>
  <c r="N61" i="6" s="1"/>
  <c r="N64" i="6" s="1"/>
  <c r="I33" i="1" s="1"/>
  <c r="J45" i="6"/>
  <c r="J61" i="6" s="1"/>
  <c r="J64" i="6" s="1"/>
  <c r="E33" i="1" s="1"/>
  <c r="J66" i="6"/>
  <c r="J70" i="6" s="1"/>
  <c r="E35" i="1" s="1"/>
  <c r="J46" i="6"/>
  <c r="K61" i="6" s="1"/>
  <c r="K64" i="6" s="1"/>
  <c r="F33" i="1" s="1"/>
  <c r="K66" i="6"/>
  <c r="K70" i="6" s="1"/>
  <c r="F35" i="1" s="1"/>
  <c r="J52" i="6"/>
  <c r="Q61" i="6" s="1"/>
  <c r="Q64" i="6" s="1"/>
  <c r="L33" i="1" s="1"/>
  <c r="Q66" i="6"/>
  <c r="Q70" i="6" s="1"/>
  <c r="L35" i="1" s="1"/>
  <c r="J53" i="6"/>
  <c r="R61" i="6" s="1"/>
  <c r="R64" i="6" s="1"/>
  <c r="M33" i="1" s="1"/>
  <c r="R66" i="6"/>
  <c r="R70" i="6" s="1"/>
  <c r="M35" i="1" s="1"/>
  <c r="T66" i="6"/>
  <c r="T70" i="6" s="1"/>
  <c r="O35" i="1" s="1"/>
  <c r="J55" i="6"/>
  <c r="T61" i="6" s="1"/>
  <c r="T64" i="6" s="1"/>
  <c r="O33" i="1" s="1"/>
  <c r="I70" i="6"/>
  <c r="D35" i="1" s="1"/>
  <c r="J44" i="6"/>
  <c r="I61" i="6" s="1"/>
  <c r="I64" i="6" s="1"/>
  <c r="D33" i="1" s="1"/>
  <c r="J48" i="6"/>
  <c r="M61" i="6" s="1"/>
  <c r="M64" i="6" s="1"/>
  <c r="H33" i="1" s="1"/>
  <c r="M66" i="6"/>
  <c r="M70" i="6" s="1"/>
  <c r="H35" i="1" s="1"/>
  <c r="J50" i="6"/>
  <c r="O61" i="6" s="1"/>
  <c r="O64" i="6" s="1"/>
  <c r="J33" i="1" s="1"/>
  <c r="J51" i="6"/>
  <c r="P61" i="6" s="1"/>
  <c r="P64" i="6" s="1"/>
  <c r="K33" i="1" s="1"/>
  <c r="L66" i="6"/>
  <c r="L70" i="6" s="1"/>
  <c r="G35" i="1" s="1"/>
  <c r="F39" i="1" l="1"/>
  <c r="F41" i="1"/>
</calcChain>
</file>

<file path=xl/sharedStrings.xml><?xml version="1.0" encoding="utf-8"?>
<sst xmlns="http://schemas.openxmlformats.org/spreadsheetml/2006/main" count="330" uniqueCount="72">
  <si>
    <t>Mean Temp (°C)</t>
  </si>
  <si>
    <t>Total Precip (mm)</t>
  </si>
  <si>
    <t>Snow on Grnd (cm)</t>
  </si>
  <si>
    <t>average wind speed</t>
  </si>
  <si>
    <t>weekend usage</t>
  </si>
  <si>
    <t>march</t>
  </si>
  <si>
    <t>March</t>
  </si>
  <si>
    <t>April</t>
  </si>
  <si>
    <t>weekday</t>
  </si>
  <si>
    <t>may</t>
  </si>
  <si>
    <t>May</t>
  </si>
  <si>
    <t>june</t>
  </si>
  <si>
    <t>June</t>
  </si>
  <si>
    <t>july</t>
  </si>
  <si>
    <t>July</t>
  </si>
  <si>
    <t>august</t>
  </si>
  <si>
    <t>August</t>
  </si>
  <si>
    <t xml:space="preserve"> </t>
  </si>
  <si>
    <t>weekend</t>
  </si>
  <si>
    <t>January</t>
  </si>
  <si>
    <t>February</t>
  </si>
  <si>
    <t>September</t>
  </si>
  <si>
    <t>October</t>
  </si>
  <si>
    <t>November</t>
  </si>
  <si>
    <t>December</t>
  </si>
  <si>
    <t>sunlight hours</t>
  </si>
  <si>
    <t>commuter model</t>
  </si>
  <si>
    <t xml:space="preserve"> Utilitrian model</t>
  </si>
  <si>
    <t>Month</t>
  </si>
  <si>
    <t>month</t>
  </si>
  <si>
    <t>year</t>
  </si>
  <si>
    <t>weekdays usage</t>
  </si>
  <si>
    <t>URT</t>
  </si>
  <si>
    <t>february</t>
  </si>
  <si>
    <t>january</t>
  </si>
  <si>
    <t>april</t>
  </si>
  <si>
    <t>september</t>
  </si>
  <si>
    <t>october</t>
  </si>
  <si>
    <t>november</t>
  </si>
  <si>
    <t>december</t>
  </si>
  <si>
    <t>weekeday commuter model</t>
  </si>
  <si>
    <t>weekday utilitria model</t>
  </si>
  <si>
    <t xml:space="preserve">weekend utilitrian model </t>
  </si>
  <si>
    <t>weekday ut</t>
  </si>
  <si>
    <t>weekday com</t>
  </si>
  <si>
    <t>Months</t>
  </si>
  <si>
    <t>Usage (cyclists)</t>
  </si>
  <si>
    <t>selected year</t>
  </si>
  <si>
    <t>Average usage (weekday)</t>
  </si>
  <si>
    <t>Average usage (weekend)</t>
  </si>
  <si>
    <t>Weekday usage</t>
  </si>
  <si>
    <t>Weekend usage</t>
  </si>
  <si>
    <t>weekday usage</t>
  </si>
  <si>
    <t>Model selection</t>
  </si>
  <si>
    <t>Utilitrian model</t>
  </si>
  <si>
    <t>Commuter model</t>
  </si>
  <si>
    <t>selected model</t>
  </si>
  <si>
    <t>Enter your weather data</t>
  </si>
  <si>
    <t>Enter your weather data here</t>
  </si>
  <si>
    <t>Precipitation (mm)</t>
  </si>
  <si>
    <t>Wind speed (km/h)</t>
  </si>
  <si>
    <t>sunlight hours (h)</t>
  </si>
  <si>
    <t>enter data</t>
  </si>
  <si>
    <t xml:space="preserve">  Estimated with</t>
  </si>
  <si>
    <t>Weather data</t>
  </si>
  <si>
    <t>Calgary weather (2013)</t>
  </si>
  <si>
    <t>Calgary weather (2014)</t>
  </si>
  <si>
    <t>Calgary weather (2015)</t>
  </si>
  <si>
    <t>Calgary weather (2016)</t>
  </si>
  <si>
    <t>Calgary weather (2017)</t>
  </si>
  <si>
    <t>Automatic model selection</t>
  </si>
  <si>
    <t>Reference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</si>
</sst>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1774A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4" fillId="5" borderId="2" applyNumberFormat="0" applyAlignment="0" applyProtection="0"/>
    <xf numFmtId="0" fontId="8" fillId="4" borderId="1" applyNumberFormat="0" applyAlignment="0" applyProtection="0"/>
    <xf numFmtId="0" fontId="3" fillId="2" borderId="0"/>
  </cellStyleXfs>
  <cellXfs count="27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/>
    <xf numFmtId="0" fontId="4" fillId="5" borderId="2" xfId="2" applyAlignment="1">
      <alignment horizontal="center"/>
    </xf>
    <xf numFmtId="0" fontId="3" fillId="3" borderId="0" xfId="1"/>
    <xf numFmtId="0" fontId="3" fillId="3" borderId="0" xfId="1" applyAlignment="1">
      <alignment horizontal="center"/>
    </xf>
    <xf numFmtId="0" fontId="6" fillId="0" borderId="0" xfId="0" applyFont="1" applyAlignment="1">
      <alignment horizontal="center"/>
    </xf>
    <xf numFmtId="0" fontId="9" fillId="3" borderId="0" xfId="1" applyFont="1"/>
    <xf numFmtId="0" fontId="7" fillId="5" borderId="6" xfId="2" applyFont="1" applyBorder="1" applyAlignment="1">
      <alignment horizontal="center"/>
    </xf>
    <xf numFmtId="0" fontId="7" fillId="5" borderId="7" xfId="2" applyFont="1" applyBorder="1" applyAlignment="1">
      <alignment horizontal="center"/>
    </xf>
    <xf numFmtId="0" fontId="8" fillId="4" borderId="1" xfId="3" applyAlignment="1">
      <alignment horizontal="center" vertical="center"/>
    </xf>
    <xf numFmtId="0" fontId="5" fillId="4" borderId="3" xfId="3" applyFont="1" applyBorder="1" applyAlignment="1">
      <alignment horizontal="center"/>
    </xf>
    <xf numFmtId="0" fontId="5" fillId="4" borderId="4" xfId="3" applyFont="1" applyBorder="1" applyAlignment="1">
      <alignment horizontal="center"/>
    </xf>
    <xf numFmtId="0" fontId="5" fillId="4" borderId="5" xfId="3" applyFont="1" applyBorder="1" applyAlignment="1">
      <alignment horizontal="center"/>
    </xf>
    <xf numFmtId="0" fontId="8" fillId="4" borderId="9" xfId="3" applyBorder="1" applyAlignment="1">
      <alignment horizontal="center" vertical="center"/>
    </xf>
    <xf numFmtId="0" fontId="8" fillId="4" borderId="8" xfId="3" applyBorder="1" applyAlignment="1">
      <alignment horizontal="center" vertical="center"/>
    </xf>
    <xf numFmtId="0" fontId="8" fillId="4" borderId="10" xfId="3" applyBorder="1" applyAlignment="1">
      <alignment horizontal="center" vertical="center"/>
    </xf>
    <xf numFmtId="0" fontId="8" fillId="4" borderId="11" xfId="3" applyBorder="1" applyAlignment="1">
      <alignment horizontal="center" vertical="center"/>
    </xf>
    <xf numFmtId="0" fontId="8" fillId="4" borderId="12" xfId="3" applyBorder="1" applyAlignment="1">
      <alignment horizontal="center" vertical="center"/>
    </xf>
    <xf numFmtId="0" fontId="8" fillId="4" borderId="13" xfId="3" applyBorder="1" applyAlignment="1">
      <alignment horizontal="center" vertical="center"/>
    </xf>
    <xf numFmtId="0" fontId="7" fillId="5" borderId="0" xfId="2" applyFont="1" applyBorder="1" applyAlignment="1">
      <alignment horizontal="center"/>
    </xf>
    <xf numFmtId="0" fontId="8" fillId="4" borderId="3" xfId="3" applyBorder="1" applyAlignment="1">
      <alignment horizontal="center"/>
    </xf>
    <xf numFmtId="0" fontId="8" fillId="4" borderId="4" xfId="3" applyBorder="1" applyAlignment="1">
      <alignment horizontal="center"/>
    </xf>
    <xf numFmtId="0" fontId="8" fillId="4" borderId="5" xfId="3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5">
    <cellStyle name="Calculation" xfId="3" builtinId="22" customBuiltin="1"/>
    <cellStyle name="Good" xfId="1" builtinId="26" customBuiltin="1"/>
    <cellStyle name="Normal" xfId="0" builtinId="0"/>
    <cellStyle name="Output" xfId="2" builtinId="21" customBuiltin="1"/>
    <cellStyle name="Style 1" xfId="4" xr:uid="{2A6BD371-7DA2-4C20-BB77-285D5EA6DC74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00"/>
      <color rgb="FF006600"/>
      <color rgb="FFFF9600"/>
      <color rgb="FF45A149"/>
      <color rgb="FF38B656"/>
      <color rgb="FF00E600"/>
      <color rgb="FF2F5597"/>
      <color rgb="FF00B400"/>
      <color rgb="FF4177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291769797703365E-2"/>
          <c:y val="4.3781094527363187E-2"/>
          <c:w val="0.92312824109718361"/>
          <c:h val="0.863887491675480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analysis!$J$43</c:f>
              <c:strCache>
                <c:ptCount val="1"/>
                <c:pt idx="0">
                  <c:v>Usage (cyclists)</c:v>
                </c:pt>
              </c:strCache>
            </c:strRef>
          </c:tx>
          <c:spPr>
            <a:solidFill>
              <a:srgbClr val="2F5597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analysis!$I$44:$I$55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analysis!$J$44:$J$55</c:f>
              <c:numCache>
                <c:formatCode>General</c:formatCode>
                <c:ptCount val="12"/>
                <c:pt idx="0">
                  <c:v>37.036610395937736</c:v>
                </c:pt>
                <c:pt idx="1">
                  <c:v>34.15711902141129</c:v>
                </c:pt>
                <c:pt idx="2">
                  <c:v>69.921579945482563</c:v>
                </c:pt>
                <c:pt idx="3">
                  <c:v>69.847558975182721</c:v>
                </c:pt>
                <c:pt idx="4">
                  <c:v>98.333440154469955</c:v>
                </c:pt>
                <c:pt idx="5">
                  <c:v>140.51776484440705</c:v>
                </c:pt>
                <c:pt idx="6">
                  <c:v>171.791326461312</c:v>
                </c:pt>
                <c:pt idx="7">
                  <c:v>145.49606005144722</c:v>
                </c:pt>
                <c:pt idx="8">
                  <c:v>104.17685276474695</c:v>
                </c:pt>
                <c:pt idx="9">
                  <c:v>96.000000000000028</c:v>
                </c:pt>
                <c:pt idx="10">
                  <c:v>43.989723584849841</c:v>
                </c:pt>
                <c:pt idx="11">
                  <c:v>42.186280213613642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F99-97DB-DB73969D3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432408"/>
        <c:axId val="508432736"/>
      </c:barChart>
      <c:catAx>
        <c:axId val="50843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32736"/>
        <c:crosses val="autoZero"/>
        <c:auto val="1"/>
        <c:lblAlgn val="ctr"/>
        <c:lblOffset val="100"/>
        <c:noMultiLvlLbl val="0"/>
      </c:catAx>
      <c:valAx>
        <c:axId val="50843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>
                    <a:solidFill>
                      <a:sysClr val="windowText" lastClr="000000"/>
                    </a:solidFill>
                  </a:rPr>
                  <a:t>Usage (cyclists)</a:t>
                </a:r>
              </a:p>
            </c:rich>
          </c:tx>
          <c:layout>
            <c:manualLayout>
              <c:xMode val="edge"/>
              <c:yMode val="edge"/>
              <c:x val="7.9862204724409445E-3"/>
              <c:y val="0.26900834410624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3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analysis!$J$43</c:f>
              <c:strCache>
                <c:ptCount val="1"/>
                <c:pt idx="0">
                  <c:v>Usage (cyclists)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analysis!$I$44:$I$55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analysis!$J$44:$J$55</c:f>
              <c:numCache>
                <c:formatCode>General</c:formatCode>
                <c:ptCount val="12"/>
                <c:pt idx="0">
                  <c:v>37.036610395937736</c:v>
                </c:pt>
                <c:pt idx="1">
                  <c:v>34.15711902141129</c:v>
                </c:pt>
                <c:pt idx="2">
                  <c:v>69.921579945482563</c:v>
                </c:pt>
                <c:pt idx="3">
                  <c:v>69.847558975182721</c:v>
                </c:pt>
                <c:pt idx="4">
                  <c:v>98.333440154469955</c:v>
                </c:pt>
                <c:pt idx="5">
                  <c:v>140.51776484440705</c:v>
                </c:pt>
                <c:pt idx="6">
                  <c:v>171.791326461312</c:v>
                </c:pt>
                <c:pt idx="7">
                  <c:v>145.49606005144722</c:v>
                </c:pt>
                <c:pt idx="8">
                  <c:v>104.17685276474695</c:v>
                </c:pt>
                <c:pt idx="9">
                  <c:v>96.000000000000028</c:v>
                </c:pt>
                <c:pt idx="10">
                  <c:v>43.989723584849841</c:v>
                </c:pt>
                <c:pt idx="11">
                  <c:v>42.186280213613642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C-4C3C-AC8E-D9322467F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432408"/>
        <c:axId val="508432736"/>
      </c:barChart>
      <c:catAx>
        <c:axId val="50843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32736"/>
        <c:crosses val="autoZero"/>
        <c:auto val="1"/>
        <c:lblAlgn val="ctr"/>
        <c:lblOffset val="100"/>
        <c:noMultiLvlLbl val="0"/>
      </c:catAx>
      <c:valAx>
        <c:axId val="50843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3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analysis!$L$43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17318</xdr:colOff>
      <xdr:row>11</xdr:row>
      <xdr:rowOff>31935</xdr:rowOff>
    </xdr:from>
    <xdr:to>
      <xdr:col>15</xdr:col>
      <xdr:colOff>47624</xdr:colOff>
      <xdr:row>28</xdr:row>
      <xdr:rowOff>174810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45720</xdr:colOff>
          <xdr:row>5</xdr:row>
          <xdr:rowOff>175260</xdr:rowOff>
        </xdr:from>
        <xdr:to>
          <xdr:col>15</xdr:col>
          <xdr:colOff>60960</xdr:colOff>
          <xdr:row>10</xdr:row>
          <xdr:rowOff>289560</xdr:rowOff>
        </xdr:to>
        <xdr:sp macro="" textlink="">
          <xdr:nvSpPr>
            <xdr:cNvPr id="2050" name="Check Box 2" descr="Run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335AA1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A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Run</a:t>
              </a:r>
            </a:p>
          </xdr:txBody>
        </xdr:sp>
        <xdr:clientData fLocksWithSheet="0"/>
      </xdr:twoCellAnchor>
    </mc:Choice>
    <mc:Fallback/>
  </mc:AlternateContent>
  <xdr:twoCellAnchor>
    <xdr:from>
      <xdr:col>4</xdr:col>
      <xdr:colOff>73082</xdr:colOff>
      <xdr:row>39</xdr:row>
      <xdr:rowOff>15105</xdr:rowOff>
    </xdr:from>
    <xdr:to>
      <xdr:col>4</xdr:col>
      <xdr:colOff>823877</xdr:colOff>
      <xdr:row>39</xdr:row>
      <xdr:rowOff>26311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3179060" y="8123779"/>
          <a:ext cx="750795" cy="1120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73958</xdr:colOff>
      <xdr:row>41</xdr:row>
      <xdr:rowOff>13060</xdr:rowOff>
    </xdr:from>
    <xdr:to>
      <xdr:col>4</xdr:col>
      <xdr:colOff>824753</xdr:colOff>
      <xdr:row>41</xdr:row>
      <xdr:rowOff>24266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3179936" y="8552430"/>
          <a:ext cx="750795" cy="1120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41</xdr:row>
      <xdr:rowOff>161925</xdr:rowOff>
    </xdr:from>
    <xdr:to>
      <xdr:col>19</xdr:col>
      <xdr:colOff>447675</xdr:colOff>
      <xdr:row>56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0DD5A4-87F8-4634-B1A5-2D4CFF97BDFF}" name="Table3" displayName="Table3" ref="I42:N54" totalsRowShown="0">
  <autoFilter ref="I42:N54" xr:uid="{A4A5AA25-271E-4F9B-BDC3-D489967F1DBB}"/>
  <tableColumns count="6">
    <tableColumn id="1" xr3:uid="{83E71171-3E48-4D0C-8179-C70647841212}" name="Month" dataDxfId="0"/>
    <tableColumn id="2" xr3:uid="{40A14ED3-CB18-4C6B-A4FA-BB63002A9FBC}" name="Mean Temp (°C)"/>
    <tableColumn id="3" xr3:uid="{4C998918-D91A-4883-851B-7C945E94563C}" name="Precipitation (mm)"/>
    <tableColumn id="4" xr3:uid="{C978F5A2-7F9D-4414-BB8D-53C1C775CA57}" name="Snow on Grnd (cm)"/>
    <tableColumn id="5" xr3:uid="{31961976-4B5B-4222-9305-AD3C8B45274D}" name="Wind speed (km/h)"/>
    <tableColumn id="6" xr3:uid="{295F165B-CC9C-48ED-B766-36515B41108E}" name="sunlight hours (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29B1-048E-4EAC-91C0-F925447E671D}">
  <sheetPr codeName="Sheet1"/>
  <dimension ref="C2:O54"/>
  <sheetViews>
    <sheetView tabSelected="1" topLeftCell="A4" zoomScale="55" zoomScaleNormal="55" workbookViewId="0">
      <selection activeCell="L9" sqref="L9:N11"/>
    </sheetView>
  </sheetViews>
  <sheetFormatPr defaultColWidth="9.109375" defaultRowHeight="14.4" x14ac:dyDescent="0.3"/>
  <cols>
    <col min="1" max="2" width="9.109375" style="5"/>
    <col min="3" max="3" width="20.5546875" style="5" customWidth="1"/>
    <col min="4" max="4" width="14.44140625" style="5" customWidth="1"/>
    <col min="5" max="5" width="15" style="5" customWidth="1"/>
    <col min="6" max="6" width="15.88671875" style="5" customWidth="1"/>
    <col min="7" max="7" width="15.44140625" style="5" customWidth="1"/>
    <col min="8" max="8" width="16.88671875" style="5" customWidth="1"/>
    <col min="9" max="9" width="15.44140625" style="5" customWidth="1"/>
    <col min="10" max="10" width="17" style="5" customWidth="1"/>
    <col min="11" max="11" width="17.33203125" style="5" customWidth="1"/>
    <col min="12" max="12" width="16.6640625" style="5" customWidth="1"/>
    <col min="13" max="13" width="19.33203125" style="5" customWidth="1"/>
    <col min="14" max="14" width="23.88671875" style="5" customWidth="1"/>
    <col min="15" max="15" width="16.5546875" style="5" customWidth="1"/>
    <col min="16" max="17" width="9.109375" style="5"/>
    <col min="18" max="18" width="15.5546875" style="5" bestFit="1" customWidth="1"/>
    <col min="19" max="19" width="17.33203125" style="5" bestFit="1" customWidth="1"/>
    <col min="20" max="20" width="18.44140625" style="5" bestFit="1" customWidth="1"/>
    <col min="21" max="21" width="20" style="5" bestFit="1" customWidth="1"/>
    <col min="22" max="22" width="14.5546875" style="5" bestFit="1" customWidth="1"/>
    <col min="23" max="16384" width="9.109375" style="5"/>
  </cols>
  <sheetData>
    <row r="2" spans="3:14" ht="18" x14ac:dyDescent="0.3">
      <c r="C2" s="11" t="s">
        <v>53</v>
      </c>
      <c r="D2" s="11"/>
      <c r="E2" s="11"/>
    </row>
    <row r="3" spans="3:14" ht="14.25" customHeight="1" x14ac:dyDescent="0.35">
      <c r="C3" s="12"/>
      <c r="D3" s="13"/>
      <c r="E3" s="14"/>
    </row>
    <row r="4" spans="3:14" ht="24" customHeight="1" x14ac:dyDescent="0.3">
      <c r="C4" s="11" t="s">
        <v>70</v>
      </c>
      <c r="D4" s="11"/>
      <c r="E4" s="11"/>
    </row>
    <row r="7" spans="3:14" ht="18" x14ac:dyDescent="0.3">
      <c r="C7" s="11" t="s">
        <v>28</v>
      </c>
      <c r="D7" s="11"/>
      <c r="E7" s="11"/>
      <c r="F7" s="11" t="s">
        <v>64</v>
      </c>
      <c r="G7" s="11"/>
      <c r="H7" s="11"/>
      <c r="I7" s="11" t="s">
        <v>48</v>
      </c>
      <c r="J7" s="11"/>
      <c r="K7" s="11"/>
      <c r="L7" s="11" t="s">
        <v>49</v>
      </c>
      <c r="M7" s="11"/>
      <c r="N7" s="11"/>
    </row>
    <row r="8" spans="3:14" ht="18" x14ac:dyDescent="0.35">
      <c r="C8" s="22"/>
      <c r="D8" s="23"/>
      <c r="E8" s="24"/>
      <c r="F8" s="22"/>
      <c r="G8" s="23"/>
      <c r="H8" s="24"/>
      <c r="I8" s="22"/>
      <c r="J8" s="23"/>
      <c r="K8" s="24"/>
      <c r="L8" s="22"/>
      <c r="M8" s="23"/>
      <c r="N8" s="24"/>
    </row>
    <row r="9" spans="3:14" ht="26.25" customHeight="1" x14ac:dyDescent="0.3">
      <c r="C9" s="11" t="s">
        <v>22</v>
      </c>
      <c r="D9" s="11"/>
      <c r="E9" s="11"/>
      <c r="F9" s="11" t="s">
        <v>67</v>
      </c>
      <c r="G9" s="11"/>
      <c r="H9" s="11"/>
      <c r="I9" s="11">
        <v>56</v>
      </c>
      <c r="J9" s="11"/>
      <c r="K9" s="11"/>
      <c r="L9" s="11">
        <v>40</v>
      </c>
      <c r="M9" s="11"/>
      <c r="N9" s="11"/>
    </row>
    <row r="10" spans="3:14" ht="26.25" customHeight="1" x14ac:dyDescent="0.3"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3:14" ht="26.25" customHeight="1" x14ac:dyDescent="0.3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32" spans="3:15" s="6" customFormat="1" x14ac:dyDescent="0.3">
      <c r="C32" s="4" t="str">
        <f>IF(analysis!$L$43=TRUE,analysis!H63,"")</f>
        <v>Month</v>
      </c>
      <c r="D32" s="4" t="str">
        <f>IF(analysis!$L$43=TRUE,analysis!I63,"")</f>
        <v>January</v>
      </c>
      <c r="E32" s="4" t="str">
        <f>IF(analysis!$L$43=TRUE,analysis!J63,"")</f>
        <v>February</v>
      </c>
      <c r="F32" s="4" t="str">
        <f>IF(analysis!$L$43=TRUE,analysis!K63,"")</f>
        <v>March</v>
      </c>
      <c r="G32" s="4" t="str">
        <f>IF(analysis!$L$43=TRUE,analysis!L63,"")</f>
        <v>April</v>
      </c>
      <c r="H32" s="4" t="str">
        <f>IF(analysis!$L$43=TRUE,analysis!M63,"")</f>
        <v>May</v>
      </c>
      <c r="I32" s="4" t="str">
        <f>IF(analysis!$L$43=TRUE,analysis!N63,"")</f>
        <v>June</v>
      </c>
      <c r="J32" s="4" t="str">
        <f>IF(analysis!$L$43=TRUE,analysis!O63,"")</f>
        <v>July</v>
      </c>
      <c r="K32" s="4" t="str">
        <f>IF(analysis!$L$43=TRUE,analysis!P63,"")</f>
        <v>August</v>
      </c>
      <c r="L32" s="4" t="str">
        <f>IF(analysis!$L$43=TRUE,analysis!Q63,"")</f>
        <v>September</v>
      </c>
      <c r="M32" s="4" t="str">
        <f>IF(analysis!$L$43=TRUE,analysis!R63,"")</f>
        <v>October</v>
      </c>
      <c r="N32" s="4" t="str">
        <f>IF(analysis!$L$43=TRUE,analysis!S63,"")</f>
        <v>November</v>
      </c>
      <c r="O32" s="4" t="str">
        <f>IF(analysis!$L$43=TRUE,analysis!T63,"")</f>
        <v>December</v>
      </c>
    </row>
    <row r="33" spans="3:15" s="6" customFormat="1" x14ac:dyDescent="0.3">
      <c r="C33" s="4" t="str">
        <f>IF(analysis!$L$43=TRUE,analysis!H64,"")</f>
        <v>Usage (cyclists)</v>
      </c>
      <c r="D33" s="4">
        <f>IF(analysis!$L$43=TRUE,analysis!I64,"")</f>
        <v>37</v>
      </c>
      <c r="E33" s="4">
        <f>IF(analysis!$L$43=TRUE,analysis!J64,"")</f>
        <v>34</v>
      </c>
      <c r="F33" s="4">
        <f>IF(analysis!$L$43=TRUE,analysis!K64,"")</f>
        <v>70</v>
      </c>
      <c r="G33" s="4">
        <f>IF(analysis!$L$43=TRUE,analysis!L64,"")</f>
        <v>70</v>
      </c>
      <c r="H33" s="4">
        <f>IF(analysis!$L$43=TRUE,analysis!M64,"")</f>
        <v>98</v>
      </c>
      <c r="I33" s="4">
        <f>IF(analysis!$L$43=TRUE,analysis!N64,"")</f>
        <v>141</v>
      </c>
      <c r="J33" s="4">
        <f>IF(analysis!$L$43=TRUE,analysis!O64,"")</f>
        <v>172</v>
      </c>
      <c r="K33" s="4">
        <f>IF(analysis!$L$43=TRUE,analysis!P64,"")</f>
        <v>145</v>
      </c>
      <c r="L33" s="4">
        <f>IF(analysis!$L$43=TRUE,analysis!Q64,"")</f>
        <v>104</v>
      </c>
      <c r="M33" s="4">
        <f>IF(analysis!$L$43=TRUE,analysis!R64,"")</f>
        <v>96</v>
      </c>
      <c r="N33" s="4">
        <f>IF(analysis!$L$43=TRUE,analysis!S64,"")</f>
        <v>44</v>
      </c>
      <c r="O33" s="4">
        <f>IF(analysis!$L$43=TRUE,analysis!T64,"")</f>
        <v>42</v>
      </c>
    </row>
    <row r="35" spans="3:15" x14ac:dyDescent="0.3">
      <c r="C35" s="4" t="s">
        <v>50</v>
      </c>
      <c r="D35" s="4">
        <f>IF(analysis!$L$43=TRUE,analysis!I70,"")</f>
        <v>22</v>
      </c>
      <c r="E35" s="4">
        <f>IF(analysis!$L$43=TRUE,analysis!J70,"")</f>
        <v>20</v>
      </c>
      <c r="F35" s="4">
        <f>IF(analysis!$L$43=TRUE,analysis!K70,"")</f>
        <v>41</v>
      </c>
      <c r="G35" s="4">
        <f>IF(analysis!$L$43=TRUE,analysis!L70,"")</f>
        <v>41</v>
      </c>
      <c r="H35" s="4">
        <f>IF(analysis!$L$43=TRUE,analysis!M70,"")</f>
        <v>57</v>
      </c>
      <c r="I35" s="4">
        <f>IF(analysis!$L$43=TRUE,analysis!N70,"")</f>
        <v>82</v>
      </c>
      <c r="J35" s="4">
        <f>IF(analysis!$L$43=TRUE,analysis!O70,"")</f>
        <v>100</v>
      </c>
      <c r="K35" s="4">
        <f>IF(analysis!$L$43=TRUE,analysis!P70,"")</f>
        <v>85</v>
      </c>
      <c r="L35" s="4">
        <f>IF(analysis!$L$43=TRUE,analysis!Q70,"")</f>
        <v>61</v>
      </c>
      <c r="M35" s="4">
        <f>IF(analysis!$L$43=TRUE,analysis!R70,"")</f>
        <v>56</v>
      </c>
      <c r="N35" s="4">
        <f>IF(analysis!$L$43=TRUE,analysis!S70,"")</f>
        <v>26</v>
      </c>
      <c r="O35" s="4">
        <f>IF(analysis!$L$43=TRUE,analysis!T70,"")</f>
        <v>25</v>
      </c>
    </row>
    <row r="36" spans="3:15" x14ac:dyDescent="0.3">
      <c r="C36" s="4" t="s">
        <v>51</v>
      </c>
      <c r="D36" s="4">
        <f>IF(analysis!$L$43=TRUE,analysis!I71,"")</f>
        <v>15</v>
      </c>
      <c r="E36" s="4">
        <f>IF(analysis!$L$43=TRUE,analysis!J71,"")</f>
        <v>14</v>
      </c>
      <c r="F36" s="4">
        <f>IF(analysis!$L$43=TRUE,analysis!K71,"")</f>
        <v>29</v>
      </c>
      <c r="G36" s="4">
        <f>IF(analysis!$L$43=TRUE,analysis!L71,"")</f>
        <v>29</v>
      </c>
      <c r="H36" s="4">
        <f>IF(analysis!$L$43=TRUE,analysis!M71,"")</f>
        <v>41</v>
      </c>
      <c r="I36" s="4">
        <f>IF(analysis!$L$43=TRUE,analysis!N71,"")</f>
        <v>59</v>
      </c>
      <c r="J36" s="4">
        <f>IF(analysis!$L$43=TRUE,analysis!O71,"")</f>
        <v>72</v>
      </c>
      <c r="K36" s="4">
        <f>IF(analysis!$L$43=TRUE,analysis!P71,"")</f>
        <v>61</v>
      </c>
      <c r="L36" s="4">
        <f>IF(analysis!$L$43=TRUE,analysis!Q71,"")</f>
        <v>43</v>
      </c>
      <c r="M36" s="4">
        <f>IF(analysis!$L$43=TRUE,analysis!R71,"")</f>
        <v>40</v>
      </c>
      <c r="N36" s="4">
        <f>IF(analysis!$L$43=TRUE,analysis!S71,"")</f>
        <v>18</v>
      </c>
      <c r="O36" s="4">
        <f>IF(analysis!$L$43=TRUE,analysis!T71,"")</f>
        <v>18</v>
      </c>
    </row>
    <row r="39" spans="3:15" ht="18" x14ac:dyDescent="0.35">
      <c r="C39" s="9" t="s">
        <v>4</v>
      </c>
      <c r="D39" s="10"/>
      <c r="E39" s="8" t="s">
        <v>63</v>
      </c>
      <c r="F39" s="21" t="str">
        <f>IF(D33 ="","","Utilitrian model")</f>
        <v>Utilitrian model</v>
      </c>
      <c r="G39" s="10"/>
      <c r="I39" s="15" t="s">
        <v>58</v>
      </c>
      <c r="J39" s="16"/>
      <c r="K39" s="16"/>
      <c r="L39" s="16"/>
      <c r="M39" s="16"/>
      <c r="N39" s="17"/>
    </row>
    <row r="40" spans="3:15" ht="15" customHeight="1" x14ac:dyDescent="0.3">
      <c r="I40" s="18"/>
      <c r="J40" s="19"/>
      <c r="K40" s="19"/>
      <c r="L40" s="19"/>
      <c r="M40" s="19"/>
      <c r="N40" s="20"/>
    </row>
    <row r="41" spans="3:15" ht="18" x14ac:dyDescent="0.35">
      <c r="C41" s="9" t="s">
        <v>52</v>
      </c>
      <c r="D41" s="10"/>
      <c r="E41" s="8" t="s">
        <v>63</v>
      </c>
      <c r="F41" s="9" t="str">
        <f>IF(D33="","",IF(C4="Commuter model","Commuter model",IF(C4="Utilitrian model","Utilitrian model",IF(C4="Automatic model selection",IF(L9/(L9+I9)&gt;0.11,"Utilitrian model","Commuter model")))))</f>
        <v>Utilitrian model</v>
      </c>
      <c r="G41" s="10"/>
    </row>
    <row r="42" spans="3:15" ht="15.6" x14ac:dyDescent="0.3">
      <c r="I42" s="7" t="s">
        <v>28</v>
      </c>
      <c r="J42" t="s">
        <v>0</v>
      </c>
      <c r="K42" t="s">
        <v>59</v>
      </c>
      <c r="L42" t="s">
        <v>2</v>
      </c>
      <c r="M42" t="s">
        <v>60</v>
      </c>
      <c r="N42" t="s">
        <v>61</v>
      </c>
    </row>
    <row r="43" spans="3:15" ht="15.6" x14ac:dyDescent="0.3">
      <c r="I43" s="7" t="s">
        <v>19</v>
      </c>
      <c r="J43"/>
      <c r="K43"/>
      <c r="L43"/>
      <c r="M43"/>
      <c r="N43"/>
    </row>
    <row r="44" spans="3:15" ht="15.6" x14ac:dyDescent="0.3">
      <c r="I44" s="7" t="s">
        <v>20</v>
      </c>
      <c r="J44"/>
      <c r="K44"/>
      <c r="L44"/>
      <c r="M44"/>
      <c r="N44"/>
    </row>
    <row r="45" spans="3:15" ht="15.6" x14ac:dyDescent="0.3">
      <c r="I45" s="7" t="s">
        <v>6</v>
      </c>
      <c r="J45"/>
      <c r="K45"/>
      <c r="L45"/>
      <c r="M45"/>
      <c r="N45"/>
    </row>
    <row r="46" spans="3:15" ht="15.6" x14ac:dyDescent="0.3">
      <c r="I46" s="7" t="s">
        <v>7</v>
      </c>
      <c r="J46"/>
      <c r="K46"/>
      <c r="L46"/>
      <c r="M46"/>
      <c r="N46"/>
    </row>
    <row r="47" spans="3:15" ht="15.6" x14ac:dyDescent="0.3">
      <c r="I47" s="7" t="s">
        <v>10</v>
      </c>
      <c r="J47"/>
      <c r="K47"/>
      <c r="L47"/>
      <c r="M47"/>
      <c r="N47"/>
    </row>
    <row r="48" spans="3:15" ht="15.6" x14ac:dyDescent="0.3">
      <c r="I48" s="7" t="s">
        <v>12</v>
      </c>
      <c r="J48"/>
      <c r="K48"/>
      <c r="L48"/>
      <c r="M48"/>
      <c r="N48"/>
    </row>
    <row r="49" spans="9:14" ht="15.6" x14ac:dyDescent="0.3">
      <c r="I49" s="7" t="s">
        <v>14</v>
      </c>
      <c r="J49"/>
      <c r="K49"/>
      <c r="L49"/>
      <c r="M49"/>
      <c r="N49"/>
    </row>
    <row r="50" spans="9:14" ht="15.6" x14ac:dyDescent="0.3">
      <c r="I50" s="7" t="s">
        <v>16</v>
      </c>
      <c r="J50"/>
      <c r="K50"/>
      <c r="L50"/>
      <c r="M50"/>
      <c r="N50"/>
    </row>
    <row r="51" spans="9:14" ht="15.6" x14ac:dyDescent="0.3">
      <c r="I51" s="7" t="s">
        <v>21</v>
      </c>
      <c r="J51"/>
      <c r="K51"/>
      <c r="L51"/>
      <c r="M51"/>
      <c r="N51"/>
    </row>
    <row r="52" spans="9:14" ht="15.6" x14ac:dyDescent="0.3">
      <c r="I52" s="7" t="s">
        <v>22</v>
      </c>
      <c r="J52"/>
      <c r="K52"/>
      <c r="L52"/>
      <c r="M52"/>
      <c r="N52"/>
    </row>
    <row r="53" spans="9:14" ht="15.6" x14ac:dyDescent="0.3">
      <c r="I53" s="7" t="s">
        <v>23</v>
      </c>
      <c r="J53"/>
      <c r="K53"/>
      <c r="L53"/>
      <c r="M53"/>
      <c r="N53"/>
    </row>
    <row r="54" spans="9:14" ht="15.6" x14ac:dyDescent="0.3">
      <c r="I54" s="7" t="s">
        <v>24</v>
      </c>
      <c r="J54"/>
      <c r="K54"/>
      <c r="L54"/>
      <c r="M54"/>
      <c r="N54"/>
    </row>
  </sheetData>
  <mergeCells count="20">
    <mergeCell ref="C3:E3"/>
    <mergeCell ref="C4:E4"/>
    <mergeCell ref="C2:E2"/>
    <mergeCell ref="I39:N40"/>
    <mergeCell ref="C39:D39"/>
    <mergeCell ref="F39:G39"/>
    <mergeCell ref="C7:E7"/>
    <mergeCell ref="I7:K7"/>
    <mergeCell ref="L7:N7"/>
    <mergeCell ref="F7:H7"/>
    <mergeCell ref="C8:E8"/>
    <mergeCell ref="F8:H8"/>
    <mergeCell ref="I8:K8"/>
    <mergeCell ref="L8:N8"/>
    <mergeCell ref="C41:D41"/>
    <mergeCell ref="F41:G41"/>
    <mergeCell ref="C9:E11"/>
    <mergeCell ref="I9:K11"/>
    <mergeCell ref="L9:N11"/>
    <mergeCell ref="F9:H11"/>
  </mergeCells>
  <dataValidations count="4">
    <dataValidation allowBlank="1" showInputMessage="1" showErrorMessage="1" promptTitle="Month" sqref="I17" xr:uid="{439504A7-4687-47AA-9290-C09125DC0863}"/>
    <dataValidation allowBlank="1" showInputMessage="1" showErrorMessage="1" promptTitle="Month of the year" sqref="A1:A12" xr:uid="{1647C068-A9EB-4CE8-BDD0-0153D7C4F6D5}"/>
    <dataValidation type="decimal" allowBlank="1" showInputMessage="1" showErrorMessage="1" prompt="Enter the averagre usage of weekdays" sqref="I9:K11" xr:uid="{74CCEC7F-5108-45C4-8568-56833A31D1E4}">
      <formula1>0</formula1>
      <formula2>99999999999999900</formula2>
    </dataValidation>
    <dataValidation type="decimal" allowBlank="1" showInputMessage="1" showErrorMessage="1" prompt="Enter the averagre usage of weekend" sqref="L9:N11" xr:uid="{07DDF386-DAE4-4D40-B488-34C1F63A5220}">
      <formula1>0</formula1>
      <formula2>99999999999</formula2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Check Box 2">
              <controlPr locked="0" defaultSize="0" autoFill="0" autoLine="0" autoPict="0" altText="Run">
                <anchor moveWithCells="1">
                  <from>
                    <xdr:col>14</xdr:col>
                    <xdr:colOff>45720</xdr:colOff>
                    <xdr:row>5</xdr:row>
                    <xdr:rowOff>175260</xdr:rowOff>
                  </from>
                  <to>
                    <xdr:col>15</xdr:col>
                    <xdr:colOff>60960</xdr:colOff>
                    <xdr:row>10</xdr:row>
                    <xdr:rowOff>289560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the month with observation data" xr:uid="{DBD1301B-7C8B-40D9-B73B-A8146EF8FA05}">
          <x14:formula1>
            <xm:f>Models!$C$4:$C$16</xm:f>
          </x14:formula1>
          <xm:sqref>C9:E11</xm:sqref>
        </x14:dataValidation>
        <x14:dataValidation type="list" allowBlank="1" showInputMessage="1" showErrorMessage="1" prompt="Select the year with observation data" xr:uid="{C7D0E49B-162B-43A7-A939-10367E31FED5}">
          <x14:formula1>
            <xm:f>Models!$A$42:$A$47</xm:f>
          </x14:formula1>
          <xm:sqref>F9:H11</xm:sqref>
        </x14:dataValidation>
        <x14:dataValidation type="list" allowBlank="1" showInputMessage="1" showErrorMessage="1" xr:uid="{284FA93D-019E-49CD-AF32-265F28E5FF59}">
          <x14:formula1>
            <xm:f>analysis!$H$1:$J$1</xm:f>
          </x14:formula1>
          <xm:sqref>C4:E4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BF55-EEB8-44D8-9F7F-D671875787AC}">
  <dimension ref="A1:T71"/>
  <sheetViews>
    <sheetView zoomScale="55" zoomScaleNormal="55" workbookViewId="0">
      <selection activeCell="N29" sqref="N29"/>
    </sheetView>
  </sheetViews>
  <sheetFormatPr defaultRowHeight="14.4" x14ac:dyDescent="0.3"/>
  <cols>
    <col min="2" max="2" width="10.88671875" bestFit="1" customWidth="1"/>
    <col min="3" max="3" width="12.88671875" customWidth="1"/>
    <col min="4" max="4" width="15.5546875" bestFit="1" customWidth="1"/>
    <col min="5" max="5" width="15" bestFit="1" customWidth="1"/>
    <col min="7" max="7" width="11.5546875" customWidth="1"/>
    <col min="8" max="8" width="13.109375" customWidth="1"/>
    <col min="9" max="9" width="12" customWidth="1"/>
  </cols>
  <sheetData>
    <row r="1" spans="1:10" x14ac:dyDescent="0.3">
      <c r="A1" t="s">
        <v>17</v>
      </c>
      <c r="B1" t="s">
        <v>29</v>
      </c>
      <c r="C1" t="s">
        <v>30</v>
      </c>
      <c r="D1" t="s">
        <v>31</v>
      </c>
      <c r="E1" t="s">
        <v>4</v>
      </c>
      <c r="F1" t="s">
        <v>32</v>
      </c>
      <c r="H1" t="s">
        <v>70</v>
      </c>
      <c r="I1" t="s">
        <v>54</v>
      </c>
      <c r="J1" t="s">
        <v>55</v>
      </c>
    </row>
    <row r="2" spans="1:10" x14ac:dyDescent="0.3">
      <c r="B2" t="str">
        <f>'Cycling usage estimation'!C9</f>
        <v>October</v>
      </c>
      <c r="C2" t="str">
        <f>'Cycling usage estimation'!F9</f>
        <v>Calgary weather (2015)</v>
      </c>
      <c r="D2">
        <f>'Cycling usage estimation'!I9</f>
        <v>56</v>
      </c>
      <c r="E2">
        <f>'Cycling usage estimation'!L9</f>
        <v>40</v>
      </c>
      <c r="F2">
        <f>E2/(D2+E2+1E-70)</f>
        <v>0.41666666666666669</v>
      </c>
      <c r="H2" s="25" t="s">
        <v>56</v>
      </c>
      <c r="I2" s="25"/>
      <c r="J2" t="str">
        <f>'Cycling usage estimation'!C4</f>
        <v>Automatic model selection</v>
      </c>
    </row>
    <row r="4" spans="1:10" x14ac:dyDescent="0.3">
      <c r="B4" s="25" t="s">
        <v>40</v>
      </c>
      <c r="C4" s="25"/>
      <c r="E4" s="25" t="s">
        <v>41</v>
      </c>
      <c r="F4" s="25"/>
      <c r="H4" s="25" t="s">
        <v>42</v>
      </c>
      <c r="I4" s="25"/>
      <c r="J4" s="1"/>
    </row>
    <row r="5" spans="1:10" x14ac:dyDescent="0.3">
      <c r="B5" t="s">
        <v>34</v>
      </c>
      <c r="C5">
        <f>LOG($D$2)-(weather!B20*Models!D5)-(weather!C20*Models!E5)-(weather!D20*Models!F5)-(weather!E20*Models!G5)-(weather!F20*Models!H5)</f>
        <v>2.4160880270062006</v>
      </c>
      <c r="E5" t="s">
        <v>34</v>
      </c>
      <c r="F5">
        <f>LOG($D$2)-(Models!D26*weather!B20)-(Models!E26*weather!C20)-(Models!F26*weather!D20)-(Models!G26*weather!E20)-(Models!H26*weather!F20)</f>
        <v>2.1973280270062001</v>
      </c>
      <c r="H5" t="s">
        <v>34</v>
      </c>
      <c r="I5">
        <f>LOG(analysis!$E$2)-(Models!D26*weather!B20)-(Models!E26*weather!C20)-(Models!F26*weather!D20)-(Models!G26*weather!E20)-(Models!H26*weather!F20)</f>
        <v>2.0511999913279619</v>
      </c>
    </row>
    <row r="6" spans="1:10" x14ac:dyDescent="0.3">
      <c r="B6" t="s">
        <v>33</v>
      </c>
      <c r="C6">
        <f>LOG($D$2)-(weather!B21*Models!D6)-(weather!C21*Models!E6)-(weather!D21*Models!F6)-(weather!E21*Models!G6)-(weather!F21*Models!H6)</f>
        <v>2.0046880270062002</v>
      </c>
      <c r="E6" t="s">
        <v>33</v>
      </c>
      <c r="F6">
        <f>LOG($D$2)-(Models!D27*weather!B21)-(Models!E27*weather!C21)-(Models!F27*weather!D21)-(Models!G27*weather!E21)-(Models!H27*weather!F21)</f>
        <v>2.2324780270062003</v>
      </c>
      <c r="H6" t="s">
        <v>33</v>
      </c>
      <c r="I6">
        <f>LOG(analysis!$E$2)-(Models!D27*weather!B21)-(Models!E27*weather!C21)-(Models!F27*weather!D21)-(Models!G27*weather!E21)-(Models!H27*weather!F21)</f>
        <v>2.0863499913279622</v>
      </c>
    </row>
    <row r="7" spans="1:10" x14ac:dyDescent="0.3">
      <c r="B7" t="s">
        <v>5</v>
      </c>
      <c r="C7">
        <f>LOG($D$2)-(weather!B22*Models!D7)-(weather!C22*Models!E7)-(weather!D22*Models!F7)-(weather!E22*Models!G7)-(weather!F22*Models!H7)</f>
        <v>1.8361080270062005</v>
      </c>
      <c r="E7" t="s">
        <v>5</v>
      </c>
      <c r="F7">
        <f>LOG($D$2)-(Models!D28*weather!B22)-(Models!E28*weather!C22)-(Models!F28*weather!D22)-(Models!G28*weather!E22)-(Models!H28*weather!F22)</f>
        <v>1.9213480270062002</v>
      </c>
      <c r="H7" t="s">
        <v>5</v>
      </c>
      <c r="I7">
        <f>LOG(analysis!$E$2)-(Models!D28*weather!B22)-(Models!E28*weather!C22)-(Models!F28*weather!D22)-(Models!G28*weather!E22)-(Models!H28*weather!F22)</f>
        <v>1.775219991327962</v>
      </c>
    </row>
    <row r="8" spans="1:10" x14ac:dyDescent="0.3">
      <c r="B8" t="s">
        <v>35</v>
      </c>
      <c r="C8">
        <f>LOG($D$2)-(weather!B23*Models!D8)-(weather!C23*Models!E8)-(weather!D23*Models!F8)-(weather!E23*Models!G8)-(weather!F23*Models!H8)</f>
        <v>1.8508880270062005</v>
      </c>
      <c r="E8" t="s">
        <v>35</v>
      </c>
      <c r="F8">
        <f>LOG($D$2)-(Models!D29*weather!B23)-(Models!E29*weather!C23)-(Models!F29*weather!D23)-(Models!G29*weather!E23)-(Models!H29*weather!F23)</f>
        <v>1.9218080270062003</v>
      </c>
      <c r="H8" t="s">
        <v>35</v>
      </c>
      <c r="I8">
        <f>LOG(analysis!$E$2)-(Models!D29*weather!B23)-(Models!E29*weather!C23)-(Models!F29*weather!D23)-(Models!G29*weather!E23)-(Models!H29*weather!F23)</f>
        <v>1.7756799913279622</v>
      </c>
    </row>
    <row r="9" spans="1:10" x14ac:dyDescent="0.3">
      <c r="B9" t="s">
        <v>9</v>
      </c>
      <c r="C9">
        <f>LOG($D$2)-(weather!B24*Models!D9)-(weather!C24*Models!E9)-(weather!D24*Models!F9)-(weather!E24*Models!G9)-(weather!F24*Models!H9)</f>
        <v>1.7406180270062006</v>
      </c>
      <c r="E9" t="s">
        <v>9</v>
      </c>
      <c r="F9">
        <f>LOG($D$2)-(Models!D30*weather!B24)-(Models!E30*weather!C24)-(Models!F30*weather!D24)-(Models!G30*weather!E24)-(Models!H30*weather!F24)</f>
        <v>1.7732580270062006</v>
      </c>
      <c r="H9" t="s">
        <v>9</v>
      </c>
      <c r="I9">
        <f>LOG(analysis!$E$2)-(Models!D30*weather!B24)-(Models!E30*weather!C24)-(Models!F30*weather!D24)-(Models!G30*weather!E24)-(Models!H30*weather!F24)</f>
        <v>1.6271299913279624</v>
      </c>
    </row>
    <row r="10" spans="1:10" x14ac:dyDescent="0.3">
      <c r="B10" t="s">
        <v>11</v>
      </c>
      <c r="C10">
        <f>LOG($D$2)-(weather!B25*Models!D10)-(weather!C25*Models!E10)-(weather!D25*Models!F10)-(weather!E25*Models!G10)-(weather!F25*Models!H10)</f>
        <v>1.6533780270062004</v>
      </c>
      <c r="E10" t="s">
        <v>11</v>
      </c>
      <c r="F10">
        <f>LOG($D$2)-(Models!D31*weather!B25)-(Models!E31*weather!C25)-(Models!F31*weather!D25)-(Models!G31*weather!E25)-(Models!H31*weather!F25)</f>
        <v>1.6182280270062004</v>
      </c>
      <c r="H10" t="s">
        <v>11</v>
      </c>
      <c r="I10">
        <f>LOG(analysis!$E$2)-(Models!D31*weather!B25)-(Models!E31*weather!C25)-(Models!F31*weather!D25)-(Models!G31*weather!E25)-(Models!H31*weather!F25)</f>
        <v>1.4720999913279622</v>
      </c>
    </row>
    <row r="11" spans="1:10" x14ac:dyDescent="0.3">
      <c r="B11" t="s">
        <v>13</v>
      </c>
      <c r="C11">
        <f>LOG($D$2)-(weather!B26*Models!D11)-(weather!C26*Models!E11)-(weather!D26*Models!F11)-(weather!E26*Models!G11)-(weather!F26*Models!H11)</f>
        <v>1.5500980270062006</v>
      </c>
      <c r="E11" t="s">
        <v>13</v>
      </c>
      <c r="F11">
        <f>LOG($D$2)-(Models!D32*weather!B26)-(Models!E32*weather!C26)-(Models!F32*weather!D26)-(Models!G32*weather!E26)-(Models!H32*weather!F26)</f>
        <v>1.5309580270062004</v>
      </c>
      <c r="H11" t="s">
        <v>13</v>
      </c>
      <c r="I11">
        <f>LOG(analysis!$E$2)-(Models!D32*weather!B26)-(Models!E32*weather!C26)-(Models!F32*weather!D26)-(Models!G32*weather!E26)-(Models!H32*weather!F26)</f>
        <v>1.3848299913279623</v>
      </c>
    </row>
    <row r="12" spans="1:10" x14ac:dyDescent="0.3">
      <c r="B12" t="s">
        <v>15</v>
      </c>
      <c r="C12">
        <f>LOG($D$2)-(weather!B27*Models!D12)-(weather!C27*Models!E12)-(weather!D27*Models!F12)-(weather!E27*Models!G12)-(weather!F27*Models!H12)</f>
        <v>1.6350580270062005</v>
      </c>
      <c r="E12" t="s">
        <v>15</v>
      </c>
      <c r="F12">
        <f>LOG($D$2)-(Models!D33*weather!B27)-(Models!E33*weather!C27)-(Models!F33*weather!D27)-(Models!G33*weather!E27)-(Models!H33*weather!F27)</f>
        <v>1.6031080270062004</v>
      </c>
      <c r="H12" t="s">
        <v>15</v>
      </c>
      <c r="I12">
        <f>LOG(analysis!$E$2)-(Models!D33*weather!B27)-(Models!E33*weather!C27)-(Models!F33*weather!D27)-(Models!G33*weather!E27)-(Models!H33*weather!F27)</f>
        <v>1.4569799913279622</v>
      </c>
    </row>
    <row r="13" spans="1:10" x14ac:dyDescent="0.3">
      <c r="B13" t="s">
        <v>36</v>
      </c>
      <c r="C13">
        <f>LOG($D$2)-(weather!B28*Models!D13)-(weather!C28*Models!E13)-(weather!D28*Models!F13)-(weather!E28*Models!G13)-(weather!F28*Models!H13)</f>
        <v>1.7481880270062005</v>
      </c>
      <c r="E13" t="s">
        <v>36</v>
      </c>
      <c r="F13">
        <f>LOG($D$2)-(Models!D34*weather!B28)-(Models!E34*weather!C28)-(Models!F34*weather!D28)-(Models!G34*weather!E28)-(Models!H34*weather!F28)</f>
        <v>1.7481880270062005</v>
      </c>
      <c r="H13" t="s">
        <v>36</v>
      </c>
      <c r="I13">
        <f>LOG(analysis!$E$2)-(Models!D34*weather!B28)-(Models!E34*weather!C28)-(Models!F34*weather!D28)-(Models!G34*weather!E28)-(Models!H34*weather!F28)</f>
        <v>1.6020599913279623</v>
      </c>
    </row>
    <row r="14" spans="1:10" x14ac:dyDescent="0.3">
      <c r="B14" t="s">
        <v>37</v>
      </c>
      <c r="C14">
        <f>LOG($D$2)-(weather!B29*Models!D14)-(weather!C29*Models!E14)-(weather!D29*Models!F14)-(weather!E29*Models!G14)-(weather!F29*Models!H14)</f>
        <v>1.7367980270062005</v>
      </c>
      <c r="E14" t="s">
        <v>37</v>
      </c>
      <c r="F14">
        <f>LOG($D$2)-(Models!D35*weather!B29)-(Models!E35*weather!C29)-(Models!F35*weather!D29)-(Models!G35*weather!E29)-(Models!H35*weather!F29)</f>
        <v>1.7836880270062003</v>
      </c>
      <c r="H14" t="s">
        <v>37</v>
      </c>
      <c r="I14">
        <f>LOG(analysis!$E$2)-(Models!D35*weather!B29)-(Models!E35*weather!C29)-(Models!F35*weather!D29)-(Models!G35*weather!E29)-(Models!H35*weather!F29)</f>
        <v>1.6375599913279622</v>
      </c>
    </row>
    <row r="15" spans="1:10" x14ac:dyDescent="0.3">
      <c r="B15" t="s">
        <v>38</v>
      </c>
      <c r="C15">
        <f>LOG($D$2)-(weather!B30*Models!D15)-(weather!C30*Models!E15)-(weather!D30*Models!F15)-(weather!E30*Models!G15)-(weather!F30*Models!H15)</f>
        <v>1.9202780270062005</v>
      </c>
      <c r="E15" t="s">
        <v>38</v>
      </c>
      <c r="F15">
        <f>LOG($D$2)-(Models!D36*weather!B30)-(Models!E36*weather!C30)-(Models!F36*weather!D30)-(Models!G36*weather!E30)-(Models!H36*weather!F30)</f>
        <v>2.1226080270062004</v>
      </c>
      <c r="H15" t="s">
        <v>38</v>
      </c>
      <c r="I15">
        <f>LOG(analysis!$E$2)-(Models!D36*weather!B30)-(Models!E36*weather!C30)-(Models!F36*weather!D30)-(Models!G36*weather!E30)-(Models!H36*weather!F30)</f>
        <v>1.9764799913279623</v>
      </c>
    </row>
    <row r="16" spans="1:10" x14ac:dyDescent="0.3">
      <c r="B16" t="s">
        <v>39</v>
      </c>
      <c r="C16">
        <f>LOG($D$2)-(weather!B31*Models!D16)-(weather!C31*Models!E16)-(weather!D31*Models!F16)-(weather!E31*Models!G16)-(weather!F31*Models!H16)</f>
        <v>2.1512680270062008</v>
      </c>
      <c r="E16" t="s">
        <v>39</v>
      </c>
      <c r="F16">
        <f>LOG($D$2)-(Models!D37*weather!B31)-(Models!E37*weather!C31)-(Models!F37*weather!D31)-(Models!G37*weather!E31)-(Models!H37*weather!F31)</f>
        <v>2.1407880270062005</v>
      </c>
      <c r="H16" t="s">
        <v>39</v>
      </c>
      <c r="I16">
        <f>LOG(analysis!$E$2)-(Models!D37*weather!B31)-(Models!E37*weather!C31)-(Models!F37*weather!D31)-(Models!G37*weather!E31)-(Models!H37*weather!F31)</f>
        <v>1.9946599913279621</v>
      </c>
    </row>
    <row r="19" spans="2:9" x14ac:dyDescent="0.3">
      <c r="C19" t="s">
        <v>8</v>
      </c>
      <c r="E19" t="s">
        <v>18</v>
      </c>
      <c r="H19" t="s">
        <v>43</v>
      </c>
      <c r="I19" t="s">
        <v>44</v>
      </c>
    </row>
    <row r="20" spans="2:9" x14ac:dyDescent="0.3">
      <c r="B20" t="s">
        <v>21</v>
      </c>
      <c r="C20">
        <f>IF(F2&gt;0.11,H20,I20)</f>
        <v>1.7836880270062003</v>
      </c>
      <c r="E20">
        <f>IF(B2="January",I5,IF(B2="february",I6,IF(B2="march",I7,IF(B2="april",I8,IF(B2="may",I9,IF(B2="june",I10,IF(B2="july",I11,IF(B2="august",I12,IF(B2="september",I13,IF(B2="october",I14,IF(B2="november",I15,IF(B2="december",I16,0))))))))))))</f>
        <v>1.6375599913279622</v>
      </c>
      <c r="H20">
        <f>IF(B2="January",F5,IF(B2="february",F6,IF(B2="march",F7,IF(B2="april",F8,IF(B2="may",F9,IF(B2="june",F10,IF(B2="july",F11,IF(B2="august",F12,IF(B2="september",F13,IF(B2="october",F14,IF(B2="november",F15,IF(B2="december",F16,0))))))))))))</f>
        <v>1.7836880270062003</v>
      </c>
      <c r="I20">
        <f>IF(B2="January",C5,IF(B2="february",C6,IF(B2="march",C7,IF(B2="april",C8,IF(B2="may",C9,IF(B2="june",C10,IF(B2="july",C11,IF(B2="august",C12,IF(B2="september",C13,IF(B2="october",C14,IF(B2="november",C15,IF(B2="december",C16,0))))))))))))</f>
        <v>1.7367980270062005</v>
      </c>
    </row>
    <row r="26" spans="2:9" x14ac:dyDescent="0.3">
      <c r="C26" t="s">
        <v>8</v>
      </c>
      <c r="E26" t="s">
        <v>18</v>
      </c>
      <c r="H26" t="s">
        <v>43</v>
      </c>
      <c r="I26" t="s">
        <v>44</v>
      </c>
    </row>
    <row r="27" spans="2:9" x14ac:dyDescent="0.3">
      <c r="B27" t="s">
        <v>34</v>
      </c>
      <c r="C27">
        <f>IF($J$2="Commuter model",I27,IF($J$2="Utilitrian model",H27,IF($J$2="Automatic model selection",IF($F$2&gt;0.11,H27,I27))))</f>
        <v>21.604689397630349</v>
      </c>
      <c r="E27">
        <f>10^($E$20+(Models!D26*weather!B20)+(Models!E26*weather!C20)+(Models!F26*weather!D20)+(Models!G26*weather!E20)+(Models!H25*weather!F20))</f>
        <v>15.431920998307385</v>
      </c>
      <c r="H27">
        <f>10^($H$20+(Models!D26*weather!B20)+(Models!E26*weather!C20)+(Models!F26*weather!D20)+(Models!G26*weather!E20)+(Models!H25*weather!F20))</f>
        <v>21.604689397630349</v>
      </c>
      <c r="I27">
        <f>10^($I$20+(weather!B20*Models!D5)+(weather!C20*Models!E5)+(weather!D20*Models!F5)+(weather!E20*Models!G5)+(weather!F20*Models!H5))</f>
        <v>11.719201646334444</v>
      </c>
    </row>
    <row r="28" spans="2:9" x14ac:dyDescent="0.3">
      <c r="B28" t="s">
        <v>33</v>
      </c>
      <c r="C28">
        <f t="shared" ref="C28:C38" si="0">IF($J$2="Commuter model",I28,IF($J$2="Utilitrian model",H28,IF($J$2="Automatic model selection",IF($F$2&gt;0.11,H28,I28))))</f>
        <v>19.924986095823254</v>
      </c>
      <c r="E28">
        <f>10^($E$20+(Models!D27*weather!B21)+(Models!E27*weather!C21)+(Models!F27*weather!D21)+(Models!G27*weather!E21)+(Models!H26*weather!F21))</f>
        <v>14.232132925588033</v>
      </c>
      <c r="H28">
        <f>10^($H$20+(Models!D27*weather!B21)+(Models!E27*weather!C21)+(Models!F27*weather!D21)+(Models!G27*weather!E21)+(Models!H26*weather!F21))</f>
        <v>19.924986095823254</v>
      </c>
      <c r="I28">
        <f>10^($I$20+(weather!B21*Models!D6)+(weather!C21*Models!E6)+(weather!D21*Models!F6)+(weather!E21*Models!G6)+(weather!F21*Models!H6))</f>
        <v>30.220248207802999</v>
      </c>
    </row>
    <row r="29" spans="2:9" x14ac:dyDescent="0.3">
      <c r="B29" t="s">
        <v>5</v>
      </c>
      <c r="C29">
        <f t="shared" si="0"/>
        <v>40.7875883015315</v>
      </c>
      <c r="E29">
        <f>10^($E$20+(Models!D28*weather!B22)+(Models!E28*weather!C22)+(Models!F28*weather!D22)+(Models!G28*weather!E22)+(Models!H27*weather!F22))</f>
        <v>29.13399164395106</v>
      </c>
      <c r="H29">
        <f>10^($H$20+(Models!D28*weather!B22)+(Models!E28*weather!C22)+(Models!F28*weather!D22)+(Models!G28*weather!E22)+(Models!H27*weather!F22))</f>
        <v>40.7875883015315</v>
      </c>
      <c r="I29">
        <f>10^($I$20+(weather!B22*Models!D7)+(weather!C22*Models!E7)+(weather!D22*Models!F7)+(weather!E22*Models!G7)+(weather!F22*Models!H7))</f>
        <v>44.553110198996436</v>
      </c>
    </row>
    <row r="30" spans="2:9" x14ac:dyDescent="0.3">
      <c r="B30" t="s">
        <v>35</v>
      </c>
      <c r="C30">
        <f t="shared" si="0"/>
        <v>40.74440940218993</v>
      </c>
      <c r="E30">
        <f>10^($E$20+(Models!D29*weather!B23)+(Models!E29*weather!C23)+(Models!F29*weather!D23)+(Models!G29*weather!E23)+(Models!H28*weather!F23))</f>
        <v>29.103149572992791</v>
      </c>
      <c r="H30">
        <f>10^($H$20+(Models!D29*weather!B23)+(Models!E29*weather!C23)+(Models!F29*weather!D23)+(Models!G29*weather!E23)+(Models!H28*weather!F23))</f>
        <v>40.74440940218993</v>
      </c>
      <c r="I30">
        <f>10^($I$20+(weather!B23*Models!D8)+(weather!C23*Models!E8)+(weather!D23*Models!F8)+(weather!E23*Models!G8)+(weather!F23*Models!H8))</f>
        <v>43.062379799879615</v>
      </c>
    </row>
    <row r="31" spans="2:9" x14ac:dyDescent="0.3">
      <c r="B31" t="s">
        <v>9</v>
      </c>
      <c r="C31">
        <f t="shared" si="0"/>
        <v>57.361173423440817</v>
      </c>
      <c r="E31">
        <f>10^($E$20+(Models!D30*weather!B24)+(Models!E30*weather!C24)+(Models!F30*weather!D24)+(Models!G30*weather!E24)+(Models!H29*weather!F24))</f>
        <v>40.972266731029137</v>
      </c>
      <c r="H31">
        <f>10^($H$20+(Models!D30*weather!B24)+(Models!E30*weather!C24)+(Models!F30*weather!D24)+(Models!G30*weather!E24)+(Models!H29*weather!F24))</f>
        <v>57.361173423440817</v>
      </c>
      <c r="I31">
        <f>10^($I$20+(weather!B24*Models!D9)+(weather!C24*Models!E9)+(weather!D24*Models!F9)+(weather!E24*Models!G9)+(weather!F24*Models!H9))</f>
        <v>55.509590947087197</v>
      </c>
    </row>
    <row r="32" spans="2:9" x14ac:dyDescent="0.3">
      <c r="B32" t="s">
        <v>11</v>
      </c>
      <c r="C32">
        <f t="shared" si="0"/>
        <v>81.968696159237439</v>
      </c>
      <c r="E32">
        <f>10^($E$20+(Models!D31*weather!B25)+(Models!E31*weather!C25)+(Models!F31*weather!D25)+(Models!G31*weather!E25)+(Models!H30*weather!F25))</f>
        <v>58.549068685169601</v>
      </c>
      <c r="H32">
        <f>10^($H$20+(Models!D31*weather!B25)+(Models!E31*weather!C25)+(Models!F31*weather!D25)+(Models!G31*weather!E25)+(Models!H30*weather!F25))</f>
        <v>81.968696159237439</v>
      </c>
      <c r="I32">
        <f>10^($I$20+(weather!B25*Models!D10)+(weather!C25*Models!E10)+(weather!D25*Models!F10)+(weather!E25*Models!G10)+(weather!F25*Models!H10))</f>
        <v>67.859089313824413</v>
      </c>
    </row>
    <row r="33" spans="2:12" x14ac:dyDescent="0.3">
      <c r="B33" t="s">
        <v>13</v>
      </c>
      <c r="C33">
        <f t="shared" si="0"/>
        <v>100.21160710243201</v>
      </c>
      <c r="E33">
        <f>10^($E$20+(Models!D32*weather!B26)+(Models!E32*weather!C26)+(Models!F32*weather!D26)+(Models!G32*weather!E26)+(Models!H31*weather!F26))</f>
        <v>71.579719358879998</v>
      </c>
      <c r="H33">
        <f>10^($H$20+(Models!D32*weather!B26)+(Models!E32*weather!C26)+(Models!F32*weather!D26)+(Models!G32*weather!E26)+(Models!H31*weather!F26))</f>
        <v>100.21160710243201</v>
      </c>
      <c r="I33">
        <f>10^($I$20+(weather!B26*Models!D11)+(weather!C26*Models!E11)+(weather!D26*Models!F11)+(weather!E26*Models!G11)+(weather!F26*Models!H11))</f>
        <v>86.077179306505371</v>
      </c>
    </row>
    <row r="34" spans="2:12" x14ac:dyDescent="0.3">
      <c r="B34" t="s">
        <v>15</v>
      </c>
      <c r="C34">
        <f t="shared" si="0"/>
        <v>84.872701696677581</v>
      </c>
      <c r="E34">
        <f>10^($E$20+(Models!D33*weather!B27)+(Models!E33*weather!C27)+(Models!F33*weather!D27)+(Models!G33*weather!E27)+(Models!H32*weather!F27))</f>
        <v>60.623358354769643</v>
      </c>
      <c r="H34">
        <f>10^($H$20+(Models!D33*weather!B27)+(Models!E33*weather!C27)+(Models!F33*weather!D27)+(Models!G33*weather!E27)+(Models!H32*weather!F27))</f>
        <v>84.872701696677581</v>
      </c>
      <c r="I34">
        <f>10^($I$20+(weather!B27*Models!D12)+(weather!C27*Models!E12)+(weather!D27*Models!F12)+(weather!E27*Models!G12)+(weather!F27*Models!H12))</f>
        <v>70.782847053871322</v>
      </c>
    </row>
    <row r="35" spans="2:12" x14ac:dyDescent="0.3">
      <c r="B35" t="s">
        <v>36</v>
      </c>
      <c r="C35">
        <f t="shared" si="0"/>
        <v>60.769830779435736</v>
      </c>
      <c r="E35">
        <f>10^($E$20+(Models!D34*weather!B28)+(Models!E34*weather!C28)+(Models!F34*weather!D28)+(Models!G34*weather!E28)+(Models!H33*weather!F28))</f>
        <v>43.407021985311218</v>
      </c>
      <c r="H35">
        <f>10^($H$20+(Models!D34*weather!B28)+(Models!E34*weather!C28)+(Models!F34*weather!D28)+(Models!G34*weather!E28)+(Models!H33*weather!F28))</f>
        <v>60.769830779435736</v>
      </c>
      <c r="I35">
        <f>10^($I$20+(weather!B28*Models!D13)+(weather!C28*Models!E13)+(weather!D28*Models!F13)+(weather!E28*Models!G13)+(weather!F28*Models!H13))</f>
        <v>54.550410994714895</v>
      </c>
    </row>
    <row r="36" spans="2:12" x14ac:dyDescent="0.3">
      <c r="B36" t="s">
        <v>37</v>
      </c>
      <c r="C36">
        <f t="shared" si="0"/>
        <v>56.000000000000021</v>
      </c>
      <c r="E36">
        <f>10^($E$20+(Models!D35*weather!B29)+(Models!E35*weather!C29)+(Models!F35*weather!D29)+(Models!G35*weather!E29)+(Models!H34*weather!F29))</f>
        <v>40</v>
      </c>
      <c r="H36">
        <f>10^($H$20+(Models!D35*weather!B29)+(Models!E35*weather!C29)+(Models!F35*weather!D29)+(Models!G35*weather!E29)+(Models!H34*weather!F29))</f>
        <v>56.000000000000021</v>
      </c>
      <c r="I36">
        <f>10^($I$20+(weather!B29*Models!D14)+(weather!C29*Models!E14)+(weather!D29*Models!F14)+(weather!E29*Models!G14)+(weather!F29*Models!H14))</f>
        <v>56.000000000000021</v>
      </c>
    </row>
    <row r="37" spans="2:12" x14ac:dyDescent="0.3">
      <c r="B37" t="s">
        <v>38</v>
      </c>
      <c r="C37">
        <f t="shared" si="0"/>
        <v>25.660672091162411</v>
      </c>
      <c r="E37">
        <f>10^($E$20+(Models!D36*weather!B30)+(Models!E36*weather!C30)+(Models!F36*weather!D30)+(Models!G36*weather!E30)+(Models!H35*weather!F30))</f>
        <v>18.329051493687434</v>
      </c>
      <c r="H37">
        <f>10^($H$20+(Models!D36*weather!B30)+(Models!E36*weather!C30)+(Models!F36*weather!D30)+(Models!G36*weather!E30)+(Models!H35*weather!F30))</f>
        <v>25.660672091162411</v>
      </c>
      <c r="I37">
        <f>10^($I$20+(weather!B30*Models!D15)+(weather!C30*Models!E15)+(weather!D30*Models!F15)+(weather!E30*Models!G15)+(weather!F30*Models!H15))</f>
        <v>36.703546228523763</v>
      </c>
    </row>
    <row r="38" spans="2:12" x14ac:dyDescent="0.3">
      <c r="B38" t="s">
        <v>39</v>
      </c>
      <c r="C38">
        <f t="shared" si="0"/>
        <v>24.608663457941294</v>
      </c>
      <c r="E38">
        <f>10^($E$20+(Models!D37*weather!B31)+(Models!E37*weather!C31)+(Models!F37*weather!D31)+(Models!G37*weather!E31)+(Models!H36*weather!F31))</f>
        <v>17.577616755672345</v>
      </c>
      <c r="H38">
        <f>10^($H$20+(Models!D37*weather!B31)+(Models!E37*weather!C31)+(Models!F37*weather!D31)+(Models!G37*weather!E31)+(Models!H36*weather!F31))</f>
        <v>24.608663457941294</v>
      </c>
      <c r="I38">
        <f>10^($I$20+(weather!B31*Models!D16)+(weather!C31*Models!E16)+(weather!D31*Models!F16)+(weather!E31*Models!G16)+(weather!F31*Models!H16))</f>
        <v>21.56343912016056</v>
      </c>
    </row>
    <row r="42" spans="2:12" x14ac:dyDescent="0.3">
      <c r="F42" s="25"/>
      <c r="G42" s="25"/>
    </row>
    <row r="43" spans="2:12" x14ac:dyDescent="0.3">
      <c r="C43" t="s">
        <v>8</v>
      </c>
      <c r="D43" t="s">
        <v>18</v>
      </c>
      <c r="I43" t="s">
        <v>45</v>
      </c>
      <c r="J43" t="s">
        <v>46</v>
      </c>
      <c r="L43" t="b">
        <v>1</v>
      </c>
    </row>
    <row r="44" spans="2:12" x14ac:dyDescent="0.3">
      <c r="B44" t="str">
        <f>B27</f>
        <v>january</v>
      </c>
      <c r="C44">
        <f>C27</f>
        <v>21.604689397630349</v>
      </c>
      <c r="D44">
        <f>E27</f>
        <v>15.431920998307385</v>
      </c>
      <c r="I44" t="s">
        <v>19</v>
      </c>
      <c r="J44">
        <f>IF($L$43=TRUE,C44+D44,0)</f>
        <v>37.036610395937736</v>
      </c>
    </row>
    <row r="45" spans="2:12" x14ac:dyDescent="0.3">
      <c r="B45" t="str">
        <f t="shared" ref="B45:C45" si="1">B28</f>
        <v>february</v>
      </c>
      <c r="C45">
        <f t="shared" si="1"/>
        <v>19.924986095823254</v>
      </c>
      <c r="D45">
        <f t="shared" ref="D45:D55" si="2">E28</f>
        <v>14.232132925588033</v>
      </c>
      <c r="I45" t="s">
        <v>20</v>
      </c>
      <c r="J45">
        <f t="shared" ref="J45:J55" si="3">IF($L$43=TRUE,C45+D45,0)</f>
        <v>34.15711902141129</v>
      </c>
    </row>
    <row r="46" spans="2:12" x14ac:dyDescent="0.3">
      <c r="B46" t="str">
        <f t="shared" ref="B46:C46" si="4">B29</f>
        <v>march</v>
      </c>
      <c r="C46">
        <f t="shared" si="4"/>
        <v>40.7875883015315</v>
      </c>
      <c r="D46">
        <f t="shared" si="2"/>
        <v>29.13399164395106</v>
      </c>
      <c r="I46" t="s">
        <v>6</v>
      </c>
      <c r="J46">
        <f t="shared" si="3"/>
        <v>69.921579945482563</v>
      </c>
    </row>
    <row r="47" spans="2:12" x14ac:dyDescent="0.3">
      <c r="B47" t="str">
        <f t="shared" ref="B47:C47" si="5">B30</f>
        <v>april</v>
      </c>
      <c r="C47">
        <f t="shared" si="5"/>
        <v>40.74440940218993</v>
      </c>
      <c r="D47">
        <f t="shared" si="2"/>
        <v>29.103149572992791</v>
      </c>
      <c r="I47" t="s">
        <v>7</v>
      </c>
      <c r="J47">
        <f t="shared" si="3"/>
        <v>69.847558975182721</v>
      </c>
    </row>
    <row r="48" spans="2:12" x14ac:dyDescent="0.3">
      <c r="B48" t="str">
        <f t="shared" ref="B48:C48" si="6">B31</f>
        <v>may</v>
      </c>
      <c r="C48">
        <f t="shared" si="6"/>
        <v>57.361173423440817</v>
      </c>
      <c r="D48">
        <f t="shared" si="2"/>
        <v>40.972266731029137</v>
      </c>
      <c r="I48" t="s">
        <v>10</v>
      </c>
      <c r="J48">
        <f t="shared" si="3"/>
        <v>98.333440154469955</v>
      </c>
    </row>
    <row r="49" spans="2:20" x14ac:dyDescent="0.3">
      <c r="B49" t="str">
        <f t="shared" ref="B49:C49" si="7">B32</f>
        <v>june</v>
      </c>
      <c r="C49">
        <f t="shared" si="7"/>
        <v>81.968696159237439</v>
      </c>
      <c r="D49">
        <f t="shared" si="2"/>
        <v>58.549068685169601</v>
      </c>
      <c r="I49" t="s">
        <v>12</v>
      </c>
      <c r="J49">
        <f t="shared" si="3"/>
        <v>140.51776484440705</v>
      </c>
    </row>
    <row r="50" spans="2:20" x14ac:dyDescent="0.3">
      <c r="B50" t="str">
        <f t="shared" ref="B50:C50" si="8">B33</f>
        <v>july</v>
      </c>
      <c r="C50">
        <f t="shared" si="8"/>
        <v>100.21160710243201</v>
      </c>
      <c r="D50">
        <f t="shared" si="2"/>
        <v>71.579719358879998</v>
      </c>
      <c r="I50" t="s">
        <v>14</v>
      </c>
      <c r="J50">
        <f t="shared" si="3"/>
        <v>171.791326461312</v>
      </c>
    </row>
    <row r="51" spans="2:20" x14ac:dyDescent="0.3">
      <c r="B51" t="str">
        <f t="shared" ref="B51:C51" si="9">B34</f>
        <v>august</v>
      </c>
      <c r="C51">
        <f t="shared" si="9"/>
        <v>84.872701696677581</v>
      </c>
      <c r="D51">
        <f t="shared" si="2"/>
        <v>60.623358354769643</v>
      </c>
      <c r="I51" t="s">
        <v>16</v>
      </c>
      <c r="J51">
        <f t="shared" si="3"/>
        <v>145.49606005144722</v>
      </c>
    </row>
    <row r="52" spans="2:20" x14ac:dyDescent="0.3">
      <c r="B52" t="str">
        <f t="shared" ref="B52:C52" si="10">B35</f>
        <v>september</v>
      </c>
      <c r="C52">
        <f t="shared" si="10"/>
        <v>60.769830779435736</v>
      </c>
      <c r="D52">
        <f t="shared" si="2"/>
        <v>43.407021985311218</v>
      </c>
      <c r="I52" t="s">
        <v>21</v>
      </c>
      <c r="J52">
        <f t="shared" si="3"/>
        <v>104.17685276474695</v>
      </c>
    </row>
    <row r="53" spans="2:20" x14ac:dyDescent="0.3">
      <c r="B53" t="str">
        <f t="shared" ref="B53:C53" si="11">B36</f>
        <v>october</v>
      </c>
      <c r="C53">
        <f t="shared" si="11"/>
        <v>56.000000000000021</v>
      </c>
      <c r="D53">
        <f t="shared" si="2"/>
        <v>40</v>
      </c>
      <c r="I53" t="s">
        <v>22</v>
      </c>
      <c r="J53">
        <f t="shared" si="3"/>
        <v>96.000000000000028</v>
      </c>
    </row>
    <row r="54" spans="2:20" x14ac:dyDescent="0.3">
      <c r="B54" t="str">
        <f t="shared" ref="B54:C54" si="12">B37</f>
        <v>november</v>
      </c>
      <c r="C54">
        <f t="shared" si="12"/>
        <v>25.660672091162411</v>
      </c>
      <c r="D54">
        <f t="shared" si="2"/>
        <v>18.329051493687434</v>
      </c>
      <c r="I54" t="s">
        <v>23</v>
      </c>
      <c r="J54">
        <f t="shared" si="3"/>
        <v>43.989723584849841</v>
      </c>
    </row>
    <row r="55" spans="2:20" x14ac:dyDescent="0.3">
      <c r="B55" t="str">
        <f t="shared" ref="B55:C55" si="13">B38</f>
        <v>december</v>
      </c>
      <c r="C55">
        <f t="shared" si="13"/>
        <v>24.608663457941294</v>
      </c>
      <c r="D55">
        <f t="shared" si="2"/>
        <v>17.577616755672345</v>
      </c>
      <c r="I55" t="s">
        <v>24</v>
      </c>
      <c r="J55">
        <f t="shared" si="3"/>
        <v>42.186280213613642</v>
      </c>
    </row>
    <row r="60" spans="2:20" x14ac:dyDescent="0.3">
      <c r="I60" t="s">
        <v>19</v>
      </c>
      <c r="J60" t="s">
        <v>20</v>
      </c>
      <c r="K60" t="s">
        <v>6</v>
      </c>
      <c r="L60" t="s">
        <v>7</v>
      </c>
      <c r="M60" t="s">
        <v>10</v>
      </c>
      <c r="N60" t="s">
        <v>12</v>
      </c>
      <c r="O60" t="s">
        <v>14</v>
      </c>
      <c r="P60" t="s">
        <v>16</v>
      </c>
      <c r="Q60" t="s">
        <v>21</v>
      </c>
      <c r="R60" t="s">
        <v>22</v>
      </c>
      <c r="S60" t="s">
        <v>23</v>
      </c>
      <c r="T60" t="s">
        <v>24</v>
      </c>
    </row>
    <row r="61" spans="2:20" x14ac:dyDescent="0.3">
      <c r="I61">
        <f>J44</f>
        <v>37.036610395937736</v>
      </c>
      <c r="J61">
        <f>J45</f>
        <v>34.15711902141129</v>
      </c>
      <c r="K61">
        <f>J46</f>
        <v>69.921579945482563</v>
      </c>
      <c r="L61">
        <f>J47</f>
        <v>69.847558975182721</v>
      </c>
      <c r="M61">
        <f>J48</f>
        <v>98.333440154469955</v>
      </c>
      <c r="N61">
        <f>J49</f>
        <v>140.51776484440705</v>
      </c>
      <c r="O61">
        <f>J50</f>
        <v>171.791326461312</v>
      </c>
      <c r="P61">
        <f>J51</f>
        <v>145.49606005144722</v>
      </c>
      <c r="Q61">
        <f>J52</f>
        <v>104.17685276474695</v>
      </c>
      <c r="R61">
        <f>J53</f>
        <v>96.000000000000028</v>
      </c>
      <c r="S61">
        <f>J54</f>
        <v>43.989723584849841</v>
      </c>
      <c r="T61">
        <f>J55</f>
        <v>42.186280213613642</v>
      </c>
    </row>
    <row r="63" spans="2:20" x14ac:dyDescent="0.3">
      <c r="H63" t="s">
        <v>28</v>
      </c>
      <c r="I63" t="s">
        <v>19</v>
      </c>
      <c r="J63" t="s">
        <v>20</v>
      </c>
      <c r="K63" t="s">
        <v>6</v>
      </c>
      <c r="L63" t="s">
        <v>7</v>
      </c>
      <c r="M63" t="s">
        <v>10</v>
      </c>
      <c r="N63" t="s">
        <v>12</v>
      </c>
      <c r="O63" t="s">
        <v>14</v>
      </c>
      <c r="P63" t="s">
        <v>16</v>
      </c>
      <c r="Q63" t="s">
        <v>21</v>
      </c>
      <c r="R63" t="s">
        <v>22</v>
      </c>
      <c r="S63" t="s">
        <v>23</v>
      </c>
      <c r="T63" t="s">
        <v>24</v>
      </c>
    </row>
    <row r="64" spans="2:20" x14ac:dyDescent="0.3">
      <c r="H64" t="s">
        <v>46</v>
      </c>
      <c r="I64">
        <f>ROUND(I61,0)</f>
        <v>37</v>
      </c>
      <c r="J64">
        <f t="shared" ref="J64:T64" si="14">ROUND(J61,0)</f>
        <v>34</v>
      </c>
      <c r="K64">
        <f t="shared" si="14"/>
        <v>70</v>
      </c>
      <c r="L64">
        <f t="shared" si="14"/>
        <v>70</v>
      </c>
      <c r="M64">
        <f t="shared" si="14"/>
        <v>98</v>
      </c>
      <c r="N64">
        <f t="shared" si="14"/>
        <v>141</v>
      </c>
      <c r="O64">
        <f t="shared" si="14"/>
        <v>172</v>
      </c>
      <c r="P64">
        <f t="shared" si="14"/>
        <v>145</v>
      </c>
      <c r="Q64">
        <f t="shared" si="14"/>
        <v>104</v>
      </c>
      <c r="R64">
        <f t="shared" si="14"/>
        <v>96</v>
      </c>
      <c r="S64">
        <f t="shared" si="14"/>
        <v>44</v>
      </c>
      <c r="T64">
        <f t="shared" si="14"/>
        <v>42</v>
      </c>
    </row>
    <row r="66" spans="8:20" x14ac:dyDescent="0.3">
      <c r="H66" t="s">
        <v>8</v>
      </c>
      <c r="I66">
        <f>C44</f>
        <v>21.604689397630349</v>
      </c>
      <c r="J66">
        <f>C45</f>
        <v>19.924986095823254</v>
      </c>
      <c r="K66">
        <f>C46</f>
        <v>40.7875883015315</v>
      </c>
      <c r="L66">
        <f>C47</f>
        <v>40.74440940218993</v>
      </c>
      <c r="M66">
        <f>C48</f>
        <v>57.361173423440817</v>
      </c>
      <c r="N66">
        <f>C49</f>
        <v>81.968696159237439</v>
      </c>
      <c r="O66">
        <f>C50</f>
        <v>100.21160710243201</v>
      </c>
      <c r="P66">
        <f>C51</f>
        <v>84.872701696677581</v>
      </c>
      <c r="Q66">
        <f>C52</f>
        <v>60.769830779435736</v>
      </c>
      <c r="R66">
        <f>C53</f>
        <v>56.000000000000021</v>
      </c>
      <c r="S66">
        <f>C54</f>
        <v>25.660672091162411</v>
      </c>
      <c r="T66">
        <f>C55</f>
        <v>24.608663457941294</v>
      </c>
    </row>
    <row r="67" spans="8:20" x14ac:dyDescent="0.3">
      <c r="H67" t="s">
        <v>18</v>
      </c>
      <c r="I67">
        <f>D44</f>
        <v>15.431920998307385</v>
      </c>
      <c r="J67">
        <f>D45</f>
        <v>14.232132925588033</v>
      </c>
      <c r="K67">
        <f>D46</f>
        <v>29.13399164395106</v>
      </c>
      <c r="L67">
        <f>D47</f>
        <v>29.103149572992791</v>
      </c>
      <c r="M67">
        <f>D48</f>
        <v>40.972266731029137</v>
      </c>
      <c r="N67">
        <f>D49</f>
        <v>58.549068685169601</v>
      </c>
      <c r="O67">
        <f>D50</f>
        <v>71.579719358879998</v>
      </c>
      <c r="P67">
        <f>D51</f>
        <v>60.623358354769643</v>
      </c>
      <c r="Q67">
        <f>D52</f>
        <v>43.407021985311218</v>
      </c>
      <c r="R67">
        <f>D53</f>
        <v>40</v>
      </c>
      <c r="S67">
        <f>D54</f>
        <v>18.329051493687434</v>
      </c>
      <c r="T67">
        <f>D55</f>
        <v>17.577616755672345</v>
      </c>
    </row>
    <row r="70" spans="8:20" x14ac:dyDescent="0.3">
      <c r="H70" t="s">
        <v>8</v>
      </c>
      <c r="I70">
        <f>ROUND(I66,0)</f>
        <v>22</v>
      </c>
      <c r="J70">
        <f t="shared" ref="J70:T71" si="15">ROUND(J66,0)</f>
        <v>20</v>
      </c>
      <c r="K70">
        <f t="shared" si="15"/>
        <v>41</v>
      </c>
      <c r="L70">
        <f t="shared" si="15"/>
        <v>41</v>
      </c>
      <c r="M70">
        <f t="shared" si="15"/>
        <v>57</v>
      </c>
      <c r="N70">
        <f t="shared" si="15"/>
        <v>82</v>
      </c>
      <c r="O70">
        <f t="shared" si="15"/>
        <v>100</v>
      </c>
      <c r="P70">
        <f t="shared" si="15"/>
        <v>85</v>
      </c>
      <c r="Q70">
        <f t="shared" si="15"/>
        <v>61</v>
      </c>
      <c r="R70">
        <f t="shared" si="15"/>
        <v>56</v>
      </c>
      <c r="S70">
        <f t="shared" si="15"/>
        <v>26</v>
      </c>
      <c r="T70">
        <f t="shared" si="15"/>
        <v>25</v>
      </c>
    </row>
    <row r="71" spans="8:20" x14ac:dyDescent="0.3">
      <c r="H71" t="s">
        <v>18</v>
      </c>
      <c r="I71">
        <f>ROUND(I67,0)</f>
        <v>15</v>
      </c>
      <c r="J71">
        <f t="shared" si="15"/>
        <v>14</v>
      </c>
      <c r="K71">
        <f t="shared" si="15"/>
        <v>29</v>
      </c>
      <c r="L71">
        <f t="shared" si="15"/>
        <v>29</v>
      </c>
      <c r="M71">
        <f t="shared" si="15"/>
        <v>41</v>
      </c>
      <c r="N71">
        <f t="shared" si="15"/>
        <v>59</v>
      </c>
      <c r="O71">
        <f t="shared" si="15"/>
        <v>72</v>
      </c>
      <c r="P71">
        <f t="shared" si="15"/>
        <v>61</v>
      </c>
      <c r="Q71">
        <f t="shared" si="15"/>
        <v>43</v>
      </c>
      <c r="R71">
        <f t="shared" si="15"/>
        <v>40</v>
      </c>
      <c r="S71">
        <f t="shared" si="15"/>
        <v>18</v>
      </c>
      <c r="T71">
        <f t="shared" si="15"/>
        <v>18</v>
      </c>
    </row>
  </sheetData>
  <mergeCells count="5">
    <mergeCell ref="B4:C4"/>
    <mergeCell ref="E4:F4"/>
    <mergeCell ref="H4:I4"/>
    <mergeCell ref="F42:G42"/>
    <mergeCell ref="H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5657-1100-41E2-A9DE-9150B5492E89}">
  <dimension ref="A1:CY47"/>
  <sheetViews>
    <sheetView zoomScale="55" zoomScaleNormal="55" workbookViewId="0">
      <selection activeCell="J37" sqref="J37"/>
    </sheetView>
  </sheetViews>
  <sheetFormatPr defaultRowHeight="14.4" x14ac:dyDescent="0.3"/>
  <cols>
    <col min="1" max="1" width="16.44140625" bestFit="1" customWidth="1"/>
    <col min="3" max="3" width="12.5546875" customWidth="1"/>
    <col min="4" max="4" width="18.44140625" customWidth="1"/>
    <col min="5" max="5" width="16.88671875" bestFit="1" customWidth="1"/>
    <col min="6" max="6" width="18" bestFit="1" customWidth="1"/>
    <col min="7" max="7" width="19" bestFit="1" customWidth="1"/>
    <col min="8" max="8" width="13.6640625" bestFit="1" customWidth="1"/>
    <col min="19" max="19" width="10.6640625" customWidth="1"/>
  </cols>
  <sheetData>
    <row r="1" spans="1:23" x14ac:dyDescent="0.3">
      <c r="K1" s="25"/>
      <c r="L1" s="25"/>
      <c r="M1" s="25"/>
      <c r="Q1" s="3"/>
      <c r="R1" s="25"/>
      <c r="S1" s="25"/>
      <c r="T1" s="25"/>
      <c r="U1" s="25"/>
      <c r="V1" s="25"/>
      <c r="W1" s="25"/>
    </row>
    <row r="3" spans="1:23" x14ac:dyDescent="0.3">
      <c r="A3" s="26" t="s">
        <v>26</v>
      </c>
      <c r="D3" t="s">
        <v>0</v>
      </c>
      <c r="E3" t="s">
        <v>1</v>
      </c>
      <c r="F3" t="s">
        <v>2</v>
      </c>
      <c r="G3" t="s">
        <v>3</v>
      </c>
      <c r="H3" t="s">
        <v>25</v>
      </c>
    </row>
    <row r="4" spans="1:23" x14ac:dyDescent="0.3">
      <c r="A4" s="26"/>
      <c r="C4" s="2" t="s">
        <v>71</v>
      </c>
    </row>
    <row r="5" spans="1:23" x14ac:dyDescent="0.3">
      <c r="A5" s="26"/>
      <c r="C5" s="2" t="s">
        <v>19</v>
      </c>
      <c r="D5">
        <v>2.1000000000000001E-2</v>
      </c>
      <c r="E5">
        <v>-1.9E-2</v>
      </c>
      <c r="G5">
        <v>-3.0000000000000001E-3</v>
      </c>
      <c r="H5">
        <v>9.7000000000000003E-2</v>
      </c>
    </row>
    <row r="6" spans="1:23" x14ac:dyDescent="0.3">
      <c r="A6" s="26"/>
      <c r="C6" s="2" t="s">
        <v>20</v>
      </c>
      <c r="D6">
        <v>0.02</v>
      </c>
      <c r="E6">
        <v>-2.9000000000000001E-2</v>
      </c>
      <c r="G6">
        <v>-5.0000000000000001E-3</v>
      </c>
    </row>
    <row r="7" spans="1:23" x14ac:dyDescent="0.3">
      <c r="A7" s="26"/>
      <c r="C7" s="2" t="s">
        <v>6</v>
      </c>
      <c r="D7">
        <v>1.7000000000000001E-2</v>
      </c>
      <c r="E7">
        <v>-3.2000000000000001E-2</v>
      </c>
      <c r="F7">
        <v>-8.0000000000000002E-3</v>
      </c>
      <c r="G7">
        <v>-6.0000000000000001E-3</v>
      </c>
    </row>
    <row r="8" spans="1:23" x14ac:dyDescent="0.3">
      <c r="A8" s="26"/>
      <c r="C8" s="2" t="s">
        <v>7</v>
      </c>
      <c r="D8">
        <v>2.5000000000000001E-2</v>
      </c>
      <c r="E8">
        <v>-1.7000000000000001E-2</v>
      </c>
      <c r="G8">
        <v>-8.9999999999999993E-3</v>
      </c>
    </row>
    <row r="9" spans="1:23" x14ac:dyDescent="0.3">
      <c r="A9" s="26"/>
      <c r="C9" s="2" t="s">
        <v>10</v>
      </c>
      <c r="D9">
        <v>0.02</v>
      </c>
      <c r="E9">
        <v>-3.3000000000000002E-2</v>
      </c>
      <c r="G9">
        <v>-6.0000000000000001E-3</v>
      </c>
    </row>
    <row r="10" spans="1:23" x14ac:dyDescent="0.3">
      <c r="A10" s="26"/>
      <c r="C10" s="2" t="s">
        <v>12</v>
      </c>
      <c r="D10">
        <v>1.7999999999999999E-2</v>
      </c>
      <c r="E10">
        <v>-1.0999999999999999E-2</v>
      </c>
      <c r="G10">
        <v>-5.0000000000000001E-3</v>
      </c>
    </row>
    <row r="11" spans="1:23" x14ac:dyDescent="0.3">
      <c r="A11" s="26"/>
      <c r="C11" s="2" t="s">
        <v>14</v>
      </c>
      <c r="D11">
        <v>2.7E-2</v>
      </c>
      <c r="E11">
        <v>-8.9999999999999993E-3</v>
      </c>
      <c r="G11">
        <v>-6.0000000000000001E-3</v>
      </c>
    </row>
    <row r="12" spans="1:23" x14ac:dyDescent="0.3">
      <c r="A12" s="26"/>
      <c r="C12" s="2" t="s">
        <v>16</v>
      </c>
      <c r="D12">
        <v>2.1999999999999999E-2</v>
      </c>
      <c r="E12">
        <v>-1.2999999999999999E-2</v>
      </c>
      <c r="G12">
        <v>-7.0000000000000001E-3</v>
      </c>
    </row>
    <row r="13" spans="1:23" x14ac:dyDescent="0.3">
      <c r="A13" s="26"/>
      <c r="C13" s="2" t="s">
        <v>21</v>
      </c>
    </row>
    <row r="14" spans="1:23" x14ac:dyDescent="0.3">
      <c r="A14" s="26"/>
      <c r="C14" s="2" t="s">
        <v>22</v>
      </c>
      <c r="D14">
        <v>1.4999999999999999E-2</v>
      </c>
      <c r="E14">
        <v>-2.5999999999999999E-2</v>
      </c>
      <c r="F14">
        <v>-5.1999999999999998E-2</v>
      </c>
      <c r="G14">
        <v>-3.0000000000000001E-3</v>
      </c>
    </row>
    <row r="15" spans="1:23" x14ac:dyDescent="0.3">
      <c r="A15" s="26"/>
      <c r="C15" s="2" t="s">
        <v>23</v>
      </c>
      <c r="D15">
        <v>1.4E-2</v>
      </c>
      <c r="E15">
        <v>-1.7000000000000001E-2</v>
      </c>
      <c r="F15">
        <v>-2.1000000000000001E-2</v>
      </c>
      <c r="G15">
        <v>-6.0000000000000001E-3</v>
      </c>
    </row>
    <row r="16" spans="1:23" x14ac:dyDescent="0.3">
      <c r="A16" s="26"/>
      <c r="C16" s="2" t="s">
        <v>24</v>
      </c>
      <c r="D16">
        <v>1.7000000000000001E-2</v>
      </c>
      <c r="E16">
        <v>-1.7999999999999999E-2</v>
      </c>
      <c r="F16">
        <v>-3.5000000000000003E-2</v>
      </c>
      <c r="G16">
        <v>-4.0000000000000001E-3</v>
      </c>
    </row>
    <row r="20" spans="1:103" x14ac:dyDescent="0.3">
      <c r="B20" s="1"/>
      <c r="C20" s="1"/>
      <c r="E20" s="1"/>
      <c r="F20" s="1"/>
      <c r="G20" s="1"/>
      <c r="H20" s="1"/>
      <c r="I20" s="1"/>
      <c r="L20" s="1"/>
      <c r="M20" s="1"/>
      <c r="N20" s="1"/>
      <c r="O20" s="1"/>
      <c r="P20" s="1"/>
      <c r="Q20" s="1"/>
      <c r="R20" s="1"/>
      <c r="T20" s="1"/>
      <c r="U20" s="1"/>
      <c r="V20" s="1"/>
      <c r="W20" s="1"/>
      <c r="AA20" s="1"/>
      <c r="AC20" s="1"/>
      <c r="AD20" s="1"/>
      <c r="AE20" s="1"/>
      <c r="AF20" s="1"/>
      <c r="AJ20" s="1"/>
      <c r="AL20" s="1"/>
      <c r="AM20" s="1"/>
      <c r="AN20" s="1"/>
      <c r="AO20" s="1"/>
      <c r="AS20" s="1"/>
      <c r="AU20" s="1"/>
      <c r="AV20" s="1"/>
      <c r="AW20" s="1"/>
      <c r="AX20" s="1"/>
      <c r="BB20" s="1"/>
      <c r="BD20" s="1"/>
      <c r="BE20" s="1"/>
      <c r="BF20" s="1"/>
      <c r="BG20" s="1"/>
      <c r="BK20" s="1"/>
      <c r="BM20" s="1"/>
      <c r="BN20" s="1"/>
      <c r="BO20" s="1"/>
      <c r="BP20" s="1"/>
      <c r="BT20" s="1"/>
      <c r="BV20" s="1"/>
      <c r="BW20" s="1"/>
      <c r="BX20" s="1"/>
      <c r="BY20" s="1"/>
      <c r="CC20" s="1"/>
      <c r="CE20" s="1"/>
      <c r="CF20" s="1"/>
      <c r="CG20" s="1"/>
      <c r="CH20" s="1"/>
      <c r="CL20" s="1"/>
      <c r="CN20" s="1"/>
      <c r="CO20" s="1"/>
      <c r="CP20" s="1"/>
      <c r="CQ20" s="1"/>
      <c r="CT20" s="1"/>
      <c r="CV20" s="1"/>
      <c r="CW20" s="1"/>
      <c r="CX20" s="1"/>
      <c r="CY20" s="1"/>
    </row>
    <row r="21" spans="1:103" x14ac:dyDescent="0.3">
      <c r="B21" s="1"/>
      <c r="C21" s="1"/>
      <c r="E21" s="1"/>
      <c r="F21" s="1"/>
      <c r="G21" s="1"/>
      <c r="H21" s="1"/>
      <c r="I21" s="1"/>
      <c r="L21" s="1"/>
      <c r="M21" s="1"/>
      <c r="N21" s="1"/>
      <c r="O21" s="1"/>
      <c r="P21" s="1"/>
      <c r="Q21" s="1"/>
      <c r="R21" s="1"/>
      <c r="T21" s="1"/>
      <c r="U21" s="1"/>
      <c r="V21" s="1"/>
      <c r="W21" s="1"/>
      <c r="AA21" s="1"/>
      <c r="AC21" s="1"/>
      <c r="AD21" s="1"/>
      <c r="AE21" s="1"/>
      <c r="AF21" s="1"/>
      <c r="AJ21" s="1"/>
      <c r="AL21" s="1"/>
      <c r="AM21" s="1"/>
      <c r="AN21" s="1"/>
      <c r="AO21" s="1"/>
      <c r="AS21" s="1"/>
      <c r="AU21" s="1"/>
      <c r="AV21" s="1"/>
      <c r="AW21" s="1"/>
      <c r="AX21" s="1"/>
      <c r="BB21" s="1"/>
      <c r="BD21" s="1"/>
      <c r="BE21" s="1"/>
      <c r="BF21" s="1"/>
      <c r="BG21" s="1"/>
      <c r="BK21" s="1"/>
      <c r="BM21" s="1"/>
      <c r="BN21" s="1"/>
      <c r="BO21" s="1"/>
      <c r="BP21" s="1"/>
      <c r="BT21" s="1"/>
      <c r="BV21" s="1"/>
      <c r="BW21" s="1"/>
      <c r="BX21" s="1"/>
      <c r="BY21" s="1"/>
      <c r="CC21" s="1"/>
      <c r="CE21" s="1"/>
      <c r="CF21" s="1"/>
      <c r="CG21" s="1"/>
      <c r="CH21" s="1"/>
      <c r="CL21" s="1"/>
      <c r="CN21" s="1"/>
      <c r="CO21" s="1"/>
      <c r="CP21" s="1"/>
      <c r="CQ21" s="1"/>
      <c r="CT21" s="1"/>
      <c r="CV21" s="1"/>
      <c r="CW21" s="1"/>
      <c r="CX21" s="1"/>
      <c r="CY21" s="1"/>
    </row>
    <row r="22" spans="1:103" x14ac:dyDescent="0.3">
      <c r="B22" s="1"/>
      <c r="C22" s="1"/>
      <c r="E22" s="1"/>
      <c r="F22" s="1"/>
      <c r="G22" s="1"/>
      <c r="H22" s="1"/>
      <c r="I22" s="1"/>
      <c r="K22" s="25"/>
      <c r="L22" s="25"/>
      <c r="M22" s="25"/>
      <c r="P22" s="1"/>
      <c r="Q22" s="1"/>
      <c r="R22" s="1"/>
      <c r="T22" s="1"/>
      <c r="U22" s="1"/>
      <c r="V22" s="1"/>
      <c r="W22" s="1"/>
      <c r="AA22" s="1"/>
      <c r="AC22" s="1"/>
      <c r="AD22" s="1"/>
      <c r="AE22" s="1"/>
      <c r="AF22" s="1"/>
      <c r="AJ22" s="1"/>
      <c r="AL22" s="1"/>
      <c r="AM22" s="1"/>
      <c r="AN22" s="1"/>
      <c r="AO22" s="1"/>
      <c r="AS22" s="1"/>
      <c r="AU22" s="1"/>
      <c r="AV22" s="1"/>
      <c r="AW22" s="1"/>
      <c r="AX22" s="1"/>
      <c r="BB22" s="1"/>
      <c r="BD22" s="1"/>
      <c r="BE22" s="1"/>
      <c r="BF22" s="1"/>
      <c r="BG22" s="1"/>
      <c r="BK22" s="1"/>
      <c r="BM22" s="1"/>
      <c r="BN22" s="1"/>
      <c r="BO22" s="1"/>
      <c r="BP22" s="1"/>
      <c r="BT22" s="1"/>
      <c r="BV22" s="1"/>
      <c r="BW22" s="1"/>
      <c r="BX22" s="1"/>
      <c r="BY22" s="1"/>
      <c r="CC22" s="1"/>
      <c r="CE22" s="1"/>
      <c r="CF22" s="1"/>
      <c r="CG22" s="1"/>
      <c r="CH22" s="1"/>
      <c r="CL22" s="1"/>
      <c r="CN22" s="1"/>
      <c r="CO22" s="1"/>
      <c r="CP22" s="1"/>
      <c r="CQ22" s="1"/>
      <c r="CT22" s="1"/>
      <c r="CV22" s="1"/>
      <c r="CW22" s="1"/>
      <c r="CX22" s="1"/>
      <c r="CY22" s="1"/>
    </row>
    <row r="23" spans="1:103" x14ac:dyDescent="0.3">
      <c r="B23" s="1"/>
      <c r="C23" s="1"/>
      <c r="D23" s="1"/>
      <c r="E23" s="1"/>
      <c r="F23" s="1"/>
      <c r="G23" s="1"/>
      <c r="H23" s="1"/>
      <c r="I23" s="1"/>
      <c r="P23" s="1"/>
      <c r="Q23" s="1"/>
      <c r="R23" s="1"/>
      <c r="S23" s="1"/>
      <c r="T23" s="1"/>
      <c r="U23" s="1"/>
      <c r="V23" s="1"/>
      <c r="W23" s="1"/>
      <c r="AA23" s="1"/>
      <c r="AB23" s="1"/>
      <c r="AC23" s="1"/>
      <c r="AD23" s="1"/>
      <c r="AE23" s="1"/>
      <c r="AF23" s="1"/>
      <c r="AJ23" s="1"/>
      <c r="AK23" s="1"/>
      <c r="AL23" s="1"/>
      <c r="AM23" s="1"/>
      <c r="AN23" s="1"/>
      <c r="AO23" s="1"/>
      <c r="AS23" s="1"/>
      <c r="AT23" s="1"/>
      <c r="AU23" s="1"/>
      <c r="AV23" s="1"/>
      <c r="AW23" s="1"/>
      <c r="AX23" s="1"/>
      <c r="BB23" s="1"/>
      <c r="BC23" s="1"/>
      <c r="BD23" s="1"/>
      <c r="BE23" s="1"/>
      <c r="BF23" s="1"/>
      <c r="BG23" s="1"/>
      <c r="BK23" s="1"/>
      <c r="BL23" s="1"/>
      <c r="BM23" s="1"/>
      <c r="BN23" s="1"/>
      <c r="BO23" s="1"/>
      <c r="BP23" s="1"/>
      <c r="BT23" s="1"/>
      <c r="BU23" s="1"/>
      <c r="BV23" s="1"/>
      <c r="BW23" s="1"/>
      <c r="BX23" s="1"/>
      <c r="BY23" s="1"/>
      <c r="CC23" s="1"/>
      <c r="CD23" s="1"/>
      <c r="CE23" s="1"/>
      <c r="CF23" s="1"/>
      <c r="CG23" s="1"/>
      <c r="CH23" s="1"/>
      <c r="CL23" s="1"/>
      <c r="CM23" s="1"/>
      <c r="CN23" s="1"/>
      <c r="CO23" s="1"/>
      <c r="CP23" s="1"/>
      <c r="CQ23" s="1"/>
      <c r="CT23" s="1"/>
      <c r="CU23" s="1"/>
      <c r="CV23" s="1"/>
      <c r="CW23" s="1"/>
      <c r="CX23" s="1"/>
      <c r="CY23" s="1"/>
    </row>
    <row r="24" spans="1:103" x14ac:dyDescent="0.3">
      <c r="A24" s="26" t="s">
        <v>27</v>
      </c>
      <c r="D24" t="s">
        <v>0</v>
      </c>
      <c r="E24" t="s">
        <v>1</v>
      </c>
      <c r="F24" t="s">
        <v>2</v>
      </c>
      <c r="G24" t="s">
        <v>3</v>
      </c>
      <c r="I24" s="1"/>
    </row>
    <row r="25" spans="1:103" x14ac:dyDescent="0.3">
      <c r="A25" s="26"/>
      <c r="I25" s="1"/>
    </row>
    <row r="26" spans="1:103" x14ac:dyDescent="0.3">
      <c r="A26" s="26"/>
      <c r="C26" t="s">
        <v>19</v>
      </c>
      <c r="D26">
        <v>3.4000000000000002E-2</v>
      </c>
      <c r="E26">
        <v>-2.3E-2</v>
      </c>
      <c r="G26">
        <v>-6.0000000000000001E-3</v>
      </c>
      <c r="I26" s="1"/>
    </row>
    <row r="27" spans="1:103" x14ac:dyDescent="0.3">
      <c r="A27" s="26"/>
      <c r="C27" t="s">
        <v>20</v>
      </c>
      <c r="D27">
        <v>3.2000000000000001E-2</v>
      </c>
      <c r="E27">
        <v>-1.4E-2</v>
      </c>
      <c r="G27">
        <v>-1.4999999999999999E-2</v>
      </c>
      <c r="I27" s="1"/>
    </row>
    <row r="28" spans="1:103" x14ac:dyDescent="0.3">
      <c r="A28" s="26"/>
      <c r="C28" t="s">
        <v>6</v>
      </c>
      <c r="D28">
        <v>3.2000000000000001E-2</v>
      </c>
      <c r="E28">
        <v>-4.5999999999999999E-2</v>
      </c>
      <c r="F28">
        <v>-1.6E-2</v>
      </c>
      <c r="I28" s="1"/>
    </row>
    <row r="29" spans="1:103" x14ac:dyDescent="0.3">
      <c r="A29" s="26"/>
      <c r="C29" t="s">
        <v>7</v>
      </c>
      <c r="D29">
        <v>0.04</v>
      </c>
      <c r="E29">
        <v>-1.4999999999999999E-2</v>
      </c>
      <c r="G29">
        <v>-8.9999999999999993E-3</v>
      </c>
      <c r="I29" s="1"/>
    </row>
    <row r="30" spans="1:103" x14ac:dyDescent="0.3">
      <c r="A30" s="26"/>
      <c r="C30" t="s">
        <v>10</v>
      </c>
      <c r="D30">
        <v>0.03</v>
      </c>
      <c r="E30">
        <v>-2.3E-2</v>
      </c>
      <c r="G30">
        <v>-1.2E-2</v>
      </c>
      <c r="I30" s="1"/>
    </row>
    <row r="31" spans="1:103" x14ac:dyDescent="0.3">
      <c r="A31" s="26"/>
      <c r="C31" t="s">
        <v>12</v>
      </c>
      <c r="D31">
        <v>2.3E-2</v>
      </c>
      <c r="E31">
        <v>-3.3000000000000002E-2</v>
      </c>
      <c r="I31" s="1"/>
    </row>
    <row r="32" spans="1:103" x14ac:dyDescent="0.3">
      <c r="A32" s="26"/>
      <c r="C32" t="s">
        <v>14</v>
      </c>
      <c r="D32">
        <v>2.7E-2</v>
      </c>
      <c r="E32">
        <v>-2.8000000000000001E-2</v>
      </c>
      <c r="I32" s="1"/>
    </row>
    <row r="33" spans="1:7" x14ac:dyDescent="0.3">
      <c r="A33" s="26"/>
      <c r="C33" t="s">
        <v>16</v>
      </c>
      <c r="D33">
        <v>2.8000000000000001E-2</v>
      </c>
      <c r="E33">
        <v>-1.6E-2</v>
      </c>
      <c r="G33">
        <v>-0.01</v>
      </c>
    </row>
    <row r="34" spans="1:7" x14ac:dyDescent="0.3">
      <c r="A34" s="26"/>
      <c r="C34" t="s">
        <v>21</v>
      </c>
    </row>
    <row r="35" spans="1:7" x14ac:dyDescent="0.3">
      <c r="A35" s="26"/>
      <c r="C35" t="s">
        <v>22</v>
      </c>
      <c r="D35">
        <v>2.5000000000000001E-2</v>
      </c>
      <c r="E35">
        <v>-1.4999999999999999E-2</v>
      </c>
      <c r="F35">
        <v>-9.1999999999999998E-2</v>
      </c>
    </row>
    <row r="36" spans="1:7" x14ac:dyDescent="0.3">
      <c r="A36" s="26"/>
      <c r="C36" t="s">
        <v>23</v>
      </c>
      <c r="D36">
        <v>3.9E-2</v>
      </c>
      <c r="E36">
        <v>-4.3999999999999997E-2</v>
      </c>
    </row>
    <row r="37" spans="1:7" x14ac:dyDescent="0.3">
      <c r="A37" s="26"/>
      <c r="C37" t="s">
        <v>24</v>
      </c>
      <c r="D37">
        <v>2.3E-2</v>
      </c>
      <c r="E37">
        <v>-2.3E-2</v>
      </c>
      <c r="F37">
        <v>-1.7000000000000001E-2</v>
      </c>
      <c r="G37">
        <v>-1.2E-2</v>
      </c>
    </row>
    <row r="41" spans="1:7" x14ac:dyDescent="0.3">
      <c r="A41" t="s">
        <v>64</v>
      </c>
    </row>
    <row r="42" spans="1:7" x14ac:dyDescent="0.3">
      <c r="A42" s="2" t="s">
        <v>57</v>
      </c>
    </row>
    <row r="43" spans="1:7" x14ac:dyDescent="0.3">
      <c r="A43" s="2" t="s">
        <v>65</v>
      </c>
    </row>
    <row r="44" spans="1:7" x14ac:dyDescent="0.3">
      <c r="A44" s="2" t="s">
        <v>66</v>
      </c>
    </row>
    <row r="45" spans="1:7" x14ac:dyDescent="0.3">
      <c r="A45" s="2" t="s">
        <v>67</v>
      </c>
    </row>
    <row r="46" spans="1:7" x14ac:dyDescent="0.3">
      <c r="A46" s="2" t="s">
        <v>68</v>
      </c>
    </row>
    <row r="47" spans="1:7" x14ac:dyDescent="0.3">
      <c r="A47" s="2" t="s">
        <v>69</v>
      </c>
    </row>
  </sheetData>
  <mergeCells count="5">
    <mergeCell ref="A3:A16"/>
    <mergeCell ref="A24:A37"/>
    <mergeCell ref="K1:M1"/>
    <mergeCell ref="K22:M22"/>
    <mergeCell ref="R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D048-C842-408E-A269-F889B9E41BE3}">
  <dimension ref="A1:Q101"/>
  <sheetViews>
    <sheetView zoomScale="70" zoomScaleNormal="70" workbookViewId="0">
      <selection activeCell="H18" sqref="H18"/>
    </sheetView>
  </sheetViews>
  <sheetFormatPr defaultRowHeight="14.4" x14ac:dyDescent="0.3"/>
  <cols>
    <col min="1" max="1" width="10.88671875" bestFit="1" customWidth="1"/>
    <col min="2" max="2" width="15.33203125" bestFit="1" customWidth="1"/>
    <col min="3" max="3" width="16.88671875" bestFit="1" customWidth="1"/>
    <col min="4" max="4" width="18" bestFit="1" customWidth="1"/>
    <col min="5" max="5" width="19" bestFit="1" customWidth="1"/>
    <col min="6" max="6" width="13.6640625" bestFit="1" customWidth="1"/>
  </cols>
  <sheetData>
    <row r="1" spans="1:17" x14ac:dyDescent="0.3">
      <c r="I1" s="25" t="s">
        <v>47</v>
      </c>
      <c r="J1" s="25"/>
    </row>
    <row r="2" spans="1:17" x14ac:dyDescent="0.3">
      <c r="B2" t="s">
        <v>0</v>
      </c>
      <c r="C2" t="s">
        <v>1</v>
      </c>
      <c r="D2" t="s">
        <v>2</v>
      </c>
      <c r="E2" t="s">
        <v>3</v>
      </c>
      <c r="F2" t="s">
        <v>25</v>
      </c>
      <c r="I2" t="str">
        <f>'Cycling usage estimation'!F9</f>
        <v>Calgary weather (2015)</v>
      </c>
    </row>
    <row r="3" spans="1:17" x14ac:dyDescent="0.3">
      <c r="A3" t="s">
        <v>19</v>
      </c>
      <c r="B3">
        <f>IF($I$2="Calgary weather (2013)",M7,IF($I$2="Calgary weather (2014)",M24,IF($I$2="Calgary weather (2015)",M40,IF($I$2="Calgary weather (2016)",M56,IF($I$2="Calgary weather (2017)",M72,IF($I$2="Enter your weather data",M90,0))))))</f>
        <v>-2.97</v>
      </c>
      <c r="C3">
        <f t="shared" ref="C3:F3" si="0">IF($I$2="Calgary weather (2013)",N7,IF($I$2="Calgary weather (2014)",N24,IF($I$2="Calgary weather (2015)",N40,IF($I$2="Calgary weather (2016)",N56,IF($I$2="Calgary weather (2017)",N72,IF($I$2="Enter your weather data",N90,0))))))</f>
        <v>1.05</v>
      </c>
      <c r="D3">
        <f t="shared" si="0"/>
        <v>8.1199999999999992</v>
      </c>
      <c r="E3">
        <f t="shared" si="0"/>
        <v>14.88</v>
      </c>
      <c r="F3">
        <f t="shared" si="0"/>
        <v>8.48</v>
      </c>
    </row>
    <row r="4" spans="1:17" x14ac:dyDescent="0.3">
      <c r="A4" t="s">
        <v>20</v>
      </c>
      <c r="B4">
        <f t="shared" ref="B4:B13" si="1">IF($I$2="Calgary weather (2013)",M8,IF($I$2="Calgary weather (2014)",M25,IF($I$2="Calgary weather (2015)",M41,IF($I$2="Calgary weather (2016)",M57,IF($I$2="Calgary weather (2017)",M73,IF($I$2="Enter your weather data",M91,0))))))</f>
        <v>-4.62</v>
      </c>
      <c r="C4">
        <f t="shared" ref="C4:C14" si="2">IF($I$2="Calgary weather (2013)",N8,IF($I$2="Calgary weather (2014)",N25,IF($I$2="Calgary weather (2015)",N41,IF($I$2="Calgary weather (2016)",N57,IF($I$2="Calgary weather (2017)",N73,IF($I$2="Enter your weather data",N91,0))))))</f>
        <v>0.28000000000000003</v>
      </c>
      <c r="D4">
        <f t="shared" ref="D4:D14" si="3">IF($I$2="Calgary weather (2013)",O8,IF($I$2="Calgary weather (2014)",O25,IF($I$2="Calgary weather (2015)",O41,IF($I$2="Calgary weather (2016)",O57,IF($I$2="Calgary weather (2017)",O73,IF($I$2="Enter your weather data",O91,0))))))</f>
        <v>2.82</v>
      </c>
      <c r="E4">
        <f t="shared" ref="E4:E14" si="4">IF($I$2="Calgary weather (2013)",P8,IF($I$2="Calgary weather (2014)",P25,IF($I$2="Calgary weather (2015)",P41,IF($I$2="Calgary weather (2016)",P57,IF($I$2="Calgary weather (2017)",P73,IF($I$2="Enter your weather data",P91,0))))))</f>
        <v>14.21</v>
      </c>
      <c r="F4">
        <f t="shared" ref="F4:F14" si="5">IF($I$2="Calgary weather (2013)",Q8,IF($I$2="Calgary weather (2014)",Q25,IF($I$2="Calgary weather (2015)",Q41,IF($I$2="Calgary weather (2016)",Q57,IF($I$2="Calgary weather (2017)",Q73,IF($I$2="Enter your weather data",Q91,0))))))</f>
        <v>10</v>
      </c>
    </row>
    <row r="5" spans="1:17" x14ac:dyDescent="0.3">
      <c r="A5" t="s">
        <v>6</v>
      </c>
      <c r="B5">
        <f t="shared" si="1"/>
        <v>2.95</v>
      </c>
      <c r="C5">
        <f t="shared" si="2"/>
        <v>0.21</v>
      </c>
      <c r="D5">
        <f t="shared" si="3"/>
        <v>1.23</v>
      </c>
      <c r="E5">
        <f t="shared" si="4"/>
        <v>14.65</v>
      </c>
      <c r="F5">
        <f t="shared" si="5"/>
        <v>11.87</v>
      </c>
      <c r="M5" s="25">
        <v>2013</v>
      </c>
      <c r="N5" s="25"/>
      <c r="O5" s="25"/>
      <c r="P5" s="25"/>
    </row>
    <row r="6" spans="1:17" x14ac:dyDescent="0.3">
      <c r="A6" t="s">
        <v>7</v>
      </c>
      <c r="B6">
        <f t="shared" si="1"/>
        <v>6.17</v>
      </c>
      <c r="C6">
        <f t="shared" si="2"/>
        <v>0.37</v>
      </c>
      <c r="D6">
        <f t="shared" si="3"/>
        <v>0.28000000000000003</v>
      </c>
      <c r="E6">
        <f t="shared" si="4"/>
        <v>15.16</v>
      </c>
      <c r="F6">
        <f t="shared" si="5"/>
        <v>13.82</v>
      </c>
      <c r="M6" t="s">
        <v>0</v>
      </c>
      <c r="N6" t="s">
        <v>1</v>
      </c>
      <c r="O6" t="s">
        <v>2</v>
      </c>
      <c r="P6" t="s">
        <v>3</v>
      </c>
      <c r="Q6" t="s">
        <v>25</v>
      </c>
    </row>
    <row r="7" spans="1:17" x14ac:dyDescent="0.3">
      <c r="A7" t="s">
        <v>10</v>
      </c>
      <c r="B7">
        <f t="shared" si="1"/>
        <v>10.07</v>
      </c>
      <c r="C7">
        <f t="shared" si="2"/>
        <v>1.1599999999999999</v>
      </c>
      <c r="D7">
        <f t="shared" si="3"/>
        <v>0</v>
      </c>
      <c r="E7">
        <f t="shared" si="4"/>
        <v>15.37</v>
      </c>
      <c r="F7">
        <f t="shared" si="5"/>
        <v>15.52</v>
      </c>
      <c r="L7" t="s">
        <v>19</v>
      </c>
      <c r="M7">
        <v>-4.8899999999999997</v>
      </c>
      <c r="N7">
        <v>0.24</v>
      </c>
      <c r="O7">
        <v>4.47</v>
      </c>
      <c r="P7">
        <v>17.41</v>
      </c>
      <c r="Q7">
        <v>8.48</v>
      </c>
    </row>
    <row r="8" spans="1:17" x14ac:dyDescent="0.3">
      <c r="A8" t="s">
        <v>12</v>
      </c>
      <c r="B8">
        <f t="shared" si="1"/>
        <v>15.87</v>
      </c>
      <c r="C8">
        <f t="shared" si="2"/>
        <v>1.93</v>
      </c>
      <c r="D8">
        <f t="shared" si="3"/>
        <v>0</v>
      </c>
      <c r="E8">
        <f t="shared" si="4"/>
        <v>13.17</v>
      </c>
      <c r="F8">
        <f t="shared" si="5"/>
        <v>16.420000000000002</v>
      </c>
      <c r="L8" t="s">
        <v>20</v>
      </c>
      <c r="M8">
        <v>-1.45</v>
      </c>
      <c r="N8">
        <v>0.24</v>
      </c>
      <c r="O8">
        <v>2</v>
      </c>
      <c r="P8">
        <v>17.059999999999999</v>
      </c>
      <c r="Q8">
        <v>10</v>
      </c>
    </row>
    <row r="9" spans="1:17" x14ac:dyDescent="0.3">
      <c r="A9" t="s">
        <v>14</v>
      </c>
      <c r="B9">
        <f t="shared" si="1"/>
        <v>18.260000000000002</v>
      </c>
      <c r="C9">
        <f t="shared" si="2"/>
        <v>1.81</v>
      </c>
      <c r="D9">
        <f t="shared" si="3"/>
        <v>0</v>
      </c>
      <c r="E9">
        <f t="shared" si="4"/>
        <v>14.54</v>
      </c>
      <c r="F9">
        <f t="shared" si="5"/>
        <v>15.97</v>
      </c>
      <c r="L9" t="s">
        <v>6</v>
      </c>
      <c r="M9">
        <v>-5.43</v>
      </c>
      <c r="N9">
        <v>0.86</v>
      </c>
      <c r="O9">
        <v>5.31</v>
      </c>
      <c r="P9">
        <v>15.34</v>
      </c>
      <c r="Q9">
        <v>11.87</v>
      </c>
    </row>
    <row r="10" spans="1:17" x14ac:dyDescent="0.3">
      <c r="A10" t="s">
        <v>16</v>
      </c>
      <c r="B10">
        <f t="shared" si="1"/>
        <v>16.920000000000002</v>
      </c>
      <c r="C10">
        <f t="shared" si="2"/>
        <v>4.16</v>
      </c>
      <c r="D10">
        <f t="shared" si="3"/>
        <v>0</v>
      </c>
      <c r="E10">
        <f t="shared" si="4"/>
        <v>12.64</v>
      </c>
      <c r="F10">
        <f t="shared" si="5"/>
        <v>14.46</v>
      </c>
      <c r="L10" t="s">
        <v>7</v>
      </c>
      <c r="M10">
        <v>2.0299999999999998</v>
      </c>
      <c r="N10">
        <v>0.52</v>
      </c>
      <c r="O10">
        <v>3.16</v>
      </c>
      <c r="P10">
        <v>18.75</v>
      </c>
      <c r="Q10">
        <v>13.82</v>
      </c>
    </row>
    <row r="11" spans="1:17" x14ac:dyDescent="0.3">
      <c r="A11" t="s">
        <v>21</v>
      </c>
      <c r="B11">
        <f t="shared" si="1"/>
        <v>10.65</v>
      </c>
      <c r="C11">
        <f t="shared" si="2"/>
        <v>2.23</v>
      </c>
      <c r="D11">
        <f t="shared" si="3"/>
        <v>0</v>
      </c>
      <c r="E11">
        <f t="shared" si="4"/>
        <v>12.68</v>
      </c>
      <c r="F11">
        <f t="shared" si="5"/>
        <v>12.58</v>
      </c>
      <c r="L11" t="s">
        <v>10</v>
      </c>
      <c r="M11">
        <v>12.07</v>
      </c>
      <c r="N11">
        <v>3.88</v>
      </c>
      <c r="O11">
        <v>0</v>
      </c>
      <c r="P11">
        <v>16.29</v>
      </c>
      <c r="Q11">
        <v>15.52</v>
      </c>
    </row>
    <row r="12" spans="1:17" x14ac:dyDescent="0.3">
      <c r="A12" t="s">
        <v>22</v>
      </c>
      <c r="B12">
        <f t="shared" si="1"/>
        <v>8</v>
      </c>
      <c r="C12">
        <f t="shared" si="2"/>
        <v>0.18</v>
      </c>
      <c r="D12">
        <f t="shared" si="3"/>
        <v>0</v>
      </c>
      <c r="E12">
        <f t="shared" si="4"/>
        <v>13.4</v>
      </c>
      <c r="F12">
        <f t="shared" si="5"/>
        <v>10.65</v>
      </c>
      <c r="L12" t="s">
        <v>12</v>
      </c>
      <c r="M12">
        <v>14.04</v>
      </c>
      <c r="N12">
        <v>5.23</v>
      </c>
      <c r="O12">
        <v>0</v>
      </c>
      <c r="P12">
        <v>15.97</v>
      </c>
      <c r="Q12">
        <v>16.420000000000002</v>
      </c>
    </row>
    <row r="13" spans="1:17" x14ac:dyDescent="0.3">
      <c r="A13" t="s">
        <v>23</v>
      </c>
      <c r="B13">
        <f t="shared" si="1"/>
        <v>-0.97</v>
      </c>
      <c r="C13">
        <f t="shared" si="2"/>
        <v>0.44</v>
      </c>
      <c r="D13">
        <f t="shared" si="3"/>
        <v>1.84</v>
      </c>
      <c r="E13">
        <f t="shared" si="4"/>
        <v>12.88</v>
      </c>
      <c r="F13">
        <f t="shared" si="5"/>
        <v>8.91</v>
      </c>
      <c r="L13" t="s">
        <v>14</v>
      </c>
      <c r="M13">
        <v>16.52</v>
      </c>
      <c r="N13">
        <v>1.56</v>
      </c>
      <c r="O13">
        <v>0</v>
      </c>
      <c r="P13">
        <v>14.83</v>
      </c>
      <c r="Q13">
        <v>15.97</v>
      </c>
    </row>
    <row r="14" spans="1:17" x14ac:dyDescent="0.3">
      <c r="A14" t="s">
        <v>24</v>
      </c>
      <c r="B14">
        <f>IF($I$2="Calgary weather (2013)",M18,IF($I$2="Calgary weather (2014)",M35,IF($I$2="Calgary weather (2015)",M51,IF($I$2="Calgary weather (2016)",M67,IF($I$2="Calgary weather (2017)",M83,IF($I$2="Enter your weather data",M101,0))))))</f>
        <v>-5.83</v>
      </c>
      <c r="C14">
        <f t="shared" si="2"/>
        <v>0.63</v>
      </c>
      <c r="D14">
        <f t="shared" si="3"/>
        <v>4.5999999999999996</v>
      </c>
      <c r="E14">
        <f t="shared" si="4"/>
        <v>10.36</v>
      </c>
      <c r="F14">
        <f t="shared" si="5"/>
        <v>7.95</v>
      </c>
      <c r="L14" t="s">
        <v>16</v>
      </c>
      <c r="M14">
        <v>17.46</v>
      </c>
      <c r="N14">
        <v>0.88</v>
      </c>
      <c r="O14">
        <v>0</v>
      </c>
      <c r="P14">
        <v>13.72</v>
      </c>
      <c r="Q14">
        <v>14.46</v>
      </c>
    </row>
    <row r="15" spans="1:17" x14ac:dyDescent="0.3">
      <c r="L15" t="s">
        <v>21</v>
      </c>
      <c r="M15">
        <v>14.18</v>
      </c>
      <c r="N15">
        <v>1.86</v>
      </c>
      <c r="O15">
        <v>0</v>
      </c>
      <c r="P15">
        <v>15.98</v>
      </c>
      <c r="Q15">
        <v>12.58</v>
      </c>
    </row>
    <row r="16" spans="1:17" x14ac:dyDescent="0.3">
      <c r="L16" t="s">
        <v>22</v>
      </c>
      <c r="M16">
        <v>5.56</v>
      </c>
      <c r="N16">
        <v>0.83</v>
      </c>
      <c r="O16">
        <v>3.2</v>
      </c>
      <c r="P16">
        <v>14.68</v>
      </c>
      <c r="Q16">
        <v>10.65</v>
      </c>
    </row>
    <row r="17" spans="1:17" x14ac:dyDescent="0.3">
      <c r="L17" t="s">
        <v>23</v>
      </c>
      <c r="M17">
        <v>-3.32</v>
      </c>
      <c r="N17">
        <v>0.41</v>
      </c>
      <c r="O17">
        <v>1.73</v>
      </c>
      <c r="P17">
        <v>14.86</v>
      </c>
      <c r="Q17">
        <v>8.91</v>
      </c>
    </row>
    <row r="18" spans="1:17" x14ac:dyDescent="0.3">
      <c r="L18" t="s">
        <v>24</v>
      </c>
      <c r="M18">
        <v>-9.51</v>
      </c>
      <c r="N18">
        <v>1.23</v>
      </c>
      <c r="O18">
        <v>12.54</v>
      </c>
      <c r="P18">
        <v>17.32</v>
      </c>
      <c r="Q18">
        <v>7.95</v>
      </c>
    </row>
    <row r="19" spans="1:17" x14ac:dyDescent="0.3">
      <c r="B19" t="s">
        <v>0</v>
      </c>
      <c r="C19" t="s">
        <v>1</v>
      </c>
      <c r="D19" t="s">
        <v>2</v>
      </c>
      <c r="E19" t="s">
        <v>3</v>
      </c>
      <c r="F19" t="s">
        <v>25</v>
      </c>
    </row>
    <row r="20" spans="1:17" x14ac:dyDescent="0.3">
      <c r="A20" t="s">
        <v>19</v>
      </c>
      <c r="B20">
        <f>B3-$B$11</f>
        <v>-13.620000000000001</v>
      </c>
      <c r="C20">
        <f>C3-$C$11</f>
        <v>-1.18</v>
      </c>
      <c r="D20">
        <f>D3-$D$11</f>
        <v>8.1199999999999992</v>
      </c>
      <c r="E20">
        <f>E3-$E$11</f>
        <v>2.2000000000000011</v>
      </c>
      <c r="F20">
        <f>F3-$F$11</f>
        <v>-4.0999999999999996</v>
      </c>
    </row>
    <row r="21" spans="1:17" x14ac:dyDescent="0.3">
      <c r="A21" t="s">
        <v>20</v>
      </c>
      <c r="B21">
        <f t="shared" ref="B21:B31" si="6">B4-$B$11</f>
        <v>-15.27</v>
      </c>
      <c r="C21">
        <f t="shared" ref="C21:C31" si="7">C4-$C$11</f>
        <v>-1.95</v>
      </c>
      <c r="D21">
        <f t="shared" ref="D21:D31" si="8">D4-$D$11</f>
        <v>2.82</v>
      </c>
      <c r="E21">
        <f t="shared" ref="E21:E31" si="9">E4-$E$11</f>
        <v>1.5300000000000011</v>
      </c>
      <c r="F21">
        <f t="shared" ref="F21:F31" si="10">F4-$F$11</f>
        <v>-2.58</v>
      </c>
    </row>
    <row r="22" spans="1:17" x14ac:dyDescent="0.3">
      <c r="A22" t="s">
        <v>6</v>
      </c>
      <c r="B22">
        <f t="shared" si="6"/>
        <v>-7.7</v>
      </c>
      <c r="C22">
        <f t="shared" si="7"/>
        <v>-2.02</v>
      </c>
      <c r="D22">
        <f t="shared" si="8"/>
        <v>1.23</v>
      </c>
      <c r="E22">
        <f t="shared" si="9"/>
        <v>1.9700000000000006</v>
      </c>
      <c r="F22">
        <f t="shared" si="10"/>
        <v>-0.71000000000000085</v>
      </c>
      <c r="M22" s="25">
        <v>2014</v>
      </c>
      <c r="N22" s="25"/>
      <c r="O22" s="25"/>
      <c r="P22" s="25"/>
    </row>
    <row r="23" spans="1:17" x14ac:dyDescent="0.3">
      <c r="A23" t="s">
        <v>7</v>
      </c>
      <c r="B23">
        <f t="shared" si="6"/>
        <v>-4.4800000000000004</v>
      </c>
      <c r="C23">
        <f t="shared" si="7"/>
        <v>-1.8599999999999999</v>
      </c>
      <c r="D23">
        <f t="shared" si="8"/>
        <v>0.28000000000000003</v>
      </c>
      <c r="E23">
        <f t="shared" si="9"/>
        <v>2.4800000000000004</v>
      </c>
      <c r="F23">
        <f t="shared" si="10"/>
        <v>1.2400000000000002</v>
      </c>
      <c r="M23" t="s">
        <v>0</v>
      </c>
      <c r="N23" t="s">
        <v>1</v>
      </c>
      <c r="O23" t="s">
        <v>2</v>
      </c>
      <c r="P23" t="s">
        <v>3</v>
      </c>
      <c r="Q23" t="s">
        <v>25</v>
      </c>
    </row>
    <row r="24" spans="1:17" x14ac:dyDescent="0.3">
      <c r="A24" t="s">
        <v>10</v>
      </c>
      <c r="B24">
        <f t="shared" si="6"/>
        <v>-0.58000000000000007</v>
      </c>
      <c r="C24">
        <f t="shared" si="7"/>
        <v>-1.07</v>
      </c>
      <c r="D24">
        <f t="shared" si="8"/>
        <v>0</v>
      </c>
      <c r="E24">
        <f t="shared" si="9"/>
        <v>2.6899999999999995</v>
      </c>
      <c r="F24">
        <f t="shared" si="10"/>
        <v>2.9399999999999995</v>
      </c>
      <c r="L24" t="s">
        <v>19</v>
      </c>
      <c r="M24">
        <v>-3.09</v>
      </c>
      <c r="N24">
        <v>0.49</v>
      </c>
      <c r="O24">
        <v>4.4000000000000004</v>
      </c>
      <c r="P24">
        <v>15.63</v>
      </c>
      <c r="Q24">
        <v>8.48</v>
      </c>
    </row>
    <row r="25" spans="1:17" x14ac:dyDescent="0.3">
      <c r="A25" t="s">
        <v>12</v>
      </c>
      <c r="B25">
        <f t="shared" si="6"/>
        <v>5.2199999999999989</v>
      </c>
      <c r="C25">
        <f t="shared" si="7"/>
        <v>-0.30000000000000004</v>
      </c>
      <c r="D25">
        <f t="shared" si="8"/>
        <v>0</v>
      </c>
      <c r="E25">
        <f t="shared" si="9"/>
        <v>0.49000000000000021</v>
      </c>
      <c r="F25">
        <f t="shared" si="10"/>
        <v>3.8400000000000016</v>
      </c>
      <c r="L25" t="s">
        <v>20</v>
      </c>
      <c r="M25">
        <v>-12.16</v>
      </c>
      <c r="N25">
        <v>0.15</v>
      </c>
      <c r="O25">
        <v>1.92</v>
      </c>
      <c r="P25">
        <v>14.46</v>
      </c>
      <c r="Q25">
        <v>10</v>
      </c>
    </row>
    <row r="26" spans="1:17" x14ac:dyDescent="0.3">
      <c r="A26" t="s">
        <v>14</v>
      </c>
      <c r="B26">
        <f t="shared" si="6"/>
        <v>7.6100000000000012</v>
      </c>
      <c r="C26">
        <f t="shared" si="7"/>
        <v>-0.41999999999999993</v>
      </c>
      <c r="D26">
        <f t="shared" si="8"/>
        <v>0</v>
      </c>
      <c r="E26">
        <f t="shared" si="9"/>
        <v>1.8599999999999994</v>
      </c>
      <c r="F26">
        <f t="shared" si="10"/>
        <v>3.3900000000000006</v>
      </c>
      <c r="L26" t="s">
        <v>6</v>
      </c>
      <c r="M26">
        <v>-6.7</v>
      </c>
      <c r="N26">
        <v>0.56000000000000005</v>
      </c>
      <c r="O26">
        <v>2.2200000000000002</v>
      </c>
      <c r="P26">
        <v>15.23</v>
      </c>
      <c r="Q26">
        <v>11.87</v>
      </c>
    </row>
    <row r="27" spans="1:17" x14ac:dyDescent="0.3">
      <c r="A27" t="s">
        <v>16</v>
      </c>
      <c r="B27">
        <f t="shared" si="6"/>
        <v>6.2700000000000014</v>
      </c>
      <c r="C27">
        <f t="shared" si="7"/>
        <v>1.9300000000000002</v>
      </c>
      <c r="D27">
        <f t="shared" si="8"/>
        <v>0</v>
      </c>
      <c r="E27">
        <f t="shared" si="9"/>
        <v>-3.9999999999999147E-2</v>
      </c>
      <c r="F27">
        <f t="shared" si="10"/>
        <v>1.8800000000000008</v>
      </c>
      <c r="L27" t="s">
        <v>7</v>
      </c>
      <c r="M27">
        <v>4.22</v>
      </c>
      <c r="N27">
        <v>0.77</v>
      </c>
      <c r="O27">
        <v>1.83</v>
      </c>
      <c r="P27">
        <v>16.05</v>
      </c>
      <c r="Q27">
        <v>13.82</v>
      </c>
    </row>
    <row r="28" spans="1:17" x14ac:dyDescent="0.3">
      <c r="A28" t="s">
        <v>21</v>
      </c>
      <c r="B28">
        <f t="shared" si="6"/>
        <v>0</v>
      </c>
      <c r="C28">
        <f t="shared" si="7"/>
        <v>0</v>
      </c>
      <c r="D28">
        <f t="shared" si="8"/>
        <v>0</v>
      </c>
      <c r="E28">
        <f t="shared" si="9"/>
        <v>0</v>
      </c>
      <c r="F28">
        <f t="shared" si="10"/>
        <v>0</v>
      </c>
      <c r="L28" t="s">
        <v>10</v>
      </c>
      <c r="M28">
        <v>9.27</v>
      </c>
      <c r="N28">
        <v>2.0699999999999998</v>
      </c>
      <c r="O28">
        <v>0.71</v>
      </c>
      <c r="P28">
        <v>14.7</v>
      </c>
      <c r="Q28">
        <v>15.52</v>
      </c>
    </row>
    <row r="29" spans="1:17" x14ac:dyDescent="0.3">
      <c r="A29" t="s">
        <v>22</v>
      </c>
      <c r="B29">
        <f t="shared" si="6"/>
        <v>-2.6500000000000004</v>
      </c>
      <c r="C29">
        <f t="shared" si="7"/>
        <v>-2.0499999999999998</v>
      </c>
      <c r="D29">
        <f t="shared" si="8"/>
        <v>0</v>
      </c>
      <c r="E29">
        <f t="shared" si="9"/>
        <v>0.72000000000000064</v>
      </c>
      <c r="F29">
        <f t="shared" si="10"/>
        <v>-1.9299999999999997</v>
      </c>
      <c r="L29" t="s">
        <v>12</v>
      </c>
      <c r="M29">
        <v>13.08</v>
      </c>
      <c r="N29">
        <v>2.85</v>
      </c>
      <c r="O29">
        <v>0</v>
      </c>
      <c r="P29">
        <v>16.23</v>
      </c>
      <c r="Q29">
        <v>16.420000000000002</v>
      </c>
    </row>
    <row r="30" spans="1:17" x14ac:dyDescent="0.3">
      <c r="A30" t="s">
        <v>23</v>
      </c>
      <c r="B30">
        <f t="shared" si="6"/>
        <v>-11.620000000000001</v>
      </c>
      <c r="C30">
        <f t="shared" si="7"/>
        <v>-1.79</v>
      </c>
      <c r="D30">
        <f t="shared" si="8"/>
        <v>1.84</v>
      </c>
      <c r="E30">
        <f t="shared" si="9"/>
        <v>0.20000000000000107</v>
      </c>
      <c r="F30">
        <f t="shared" si="10"/>
        <v>-3.67</v>
      </c>
      <c r="L30" t="s">
        <v>14</v>
      </c>
      <c r="M30">
        <v>18.66</v>
      </c>
      <c r="N30">
        <v>0.85</v>
      </c>
      <c r="O30">
        <v>0</v>
      </c>
      <c r="P30">
        <v>15.56</v>
      </c>
      <c r="Q30">
        <v>15.97</v>
      </c>
    </row>
    <row r="31" spans="1:17" x14ac:dyDescent="0.3">
      <c r="A31" t="s">
        <v>24</v>
      </c>
      <c r="B31">
        <f t="shared" si="6"/>
        <v>-16.48</v>
      </c>
      <c r="C31">
        <f t="shared" si="7"/>
        <v>-1.6</v>
      </c>
      <c r="D31">
        <f t="shared" si="8"/>
        <v>4.5999999999999996</v>
      </c>
      <c r="E31">
        <f t="shared" si="9"/>
        <v>-2.3200000000000003</v>
      </c>
      <c r="F31">
        <f t="shared" si="10"/>
        <v>-4.63</v>
      </c>
      <c r="L31" t="s">
        <v>16</v>
      </c>
      <c r="M31">
        <v>16.68</v>
      </c>
      <c r="N31">
        <v>1.68</v>
      </c>
      <c r="O31">
        <v>0</v>
      </c>
      <c r="P31">
        <v>12.1</v>
      </c>
      <c r="Q31">
        <v>14.46</v>
      </c>
    </row>
    <row r="32" spans="1:17" x14ac:dyDescent="0.3">
      <c r="L32" t="s">
        <v>21</v>
      </c>
      <c r="M32">
        <v>11.78</v>
      </c>
      <c r="N32">
        <v>1.82</v>
      </c>
      <c r="O32">
        <v>0</v>
      </c>
      <c r="P32">
        <v>13.18</v>
      </c>
      <c r="Q32">
        <v>12.58</v>
      </c>
    </row>
    <row r="33" spans="12:17" x14ac:dyDescent="0.3">
      <c r="L33" t="s">
        <v>22</v>
      </c>
      <c r="M33">
        <v>8.3000000000000007</v>
      </c>
      <c r="N33">
        <v>0.21</v>
      </c>
      <c r="O33">
        <v>0</v>
      </c>
      <c r="P33">
        <v>13.1</v>
      </c>
      <c r="Q33">
        <v>10.65</v>
      </c>
    </row>
    <row r="34" spans="12:17" x14ac:dyDescent="0.3">
      <c r="L34" t="s">
        <v>23</v>
      </c>
      <c r="M34">
        <v>-5.17</v>
      </c>
      <c r="N34">
        <v>1.44</v>
      </c>
      <c r="O34">
        <v>4.78</v>
      </c>
      <c r="P34">
        <v>14.14</v>
      </c>
      <c r="Q34">
        <v>8.91</v>
      </c>
    </row>
    <row r="35" spans="12:17" x14ac:dyDescent="0.3">
      <c r="L35" t="s">
        <v>24</v>
      </c>
      <c r="M35">
        <v>-3.39</v>
      </c>
      <c r="N35">
        <v>0.15</v>
      </c>
      <c r="O35">
        <v>2.17</v>
      </c>
      <c r="P35">
        <v>11.51</v>
      </c>
      <c r="Q35">
        <v>7.97</v>
      </c>
    </row>
    <row r="38" spans="12:17" x14ac:dyDescent="0.3">
      <c r="M38" s="25">
        <v>2015</v>
      </c>
      <c r="N38" s="25"/>
      <c r="O38" s="25"/>
      <c r="P38" s="25"/>
    </row>
    <row r="39" spans="12:17" x14ac:dyDescent="0.3">
      <c r="M39" t="s">
        <v>0</v>
      </c>
      <c r="N39" t="s">
        <v>1</v>
      </c>
      <c r="O39" t="s">
        <v>2</v>
      </c>
      <c r="P39" t="s">
        <v>3</v>
      </c>
      <c r="Q39" t="s">
        <v>25</v>
      </c>
    </row>
    <row r="40" spans="12:17" x14ac:dyDescent="0.3">
      <c r="L40" t="s">
        <v>19</v>
      </c>
      <c r="M40">
        <v>-2.97</v>
      </c>
      <c r="N40">
        <v>1.05</v>
      </c>
      <c r="O40">
        <v>8.1199999999999992</v>
      </c>
      <c r="P40">
        <v>14.88</v>
      </c>
      <c r="Q40">
        <v>8.48</v>
      </c>
    </row>
    <row r="41" spans="12:17" x14ac:dyDescent="0.3">
      <c r="L41" t="s">
        <v>20</v>
      </c>
      <c r="M41">
        <v>-4.62</v>
      </c>
      <c r="N41">
        <v>0.28000000000000003</v>
      </c>
      <c r="O41">
        <v>2.82</v>
      </c>
      <c r="P41">
        <v>14.21</v>
      </c>
      <c r="Q41">
        <v>10</v>
      </c>
    </row>
    <row r="42" spans="12:17" x14ac:dyDescent="0.3">
      <c r="L42" t="s">
        <v>6</v>
      </c>
      <c r="M42">
        <v>2.95</v>
      </c>
      <c r="N42">
        <v>0.21</v>
      </c>
      <c r="O42">
        <v>1.23</v>
      </c>
      <c r="P42">
        <v>14.65</v>
      </c>
      <c r="Q42">
        <v>11.87</v>
      </c>
    </row>
    <row r="43" spans="12:17" x14ac:dyDescent="0.3">
      <c r="L43" t="s">
        <v>7</v>
      </c>
      <c r="M43">
        <v>6.17</v>
      </c>
      <c r="N43">
        <v>0.37</v>
      </c>
      <c r="O43">
        <v>0.28000000000000003</v>
      </c>
      <c r="P43">
        <v>15.16</v>
      </c>
      <c r="Q43">
        <v>13.82</v>
      </c>
    </row>
    <row r="44" spans="12:17" x14ac:dyDescent="0.3">
      <c r="L44" t="s">
        <v>10</v>
      </c>
      <c r="M44">
        <v>10.07</v>
      </c>
      <c r="N44">
        <v>1.1599999999999999</v>
      </c>
      <c r="O44">
        <v>0</v>
      </c>
      <c r="P44">
        <v>15.37</v>
      </c>
      <c r="Q44">
        <v>15.52</v>
      </c>
    </row>
    <row r="45" spans="12:17" x14ac:dyDescent="0.3">
      <c r="L45" t="s">
        <v>12</v>
      </c>
      <c r="M45">
        <v>15.87</v>
      </c>
      <c r="N45">
        <v>1.93</v>
      </c>
      <c r="O45">
        <v>0</v>
      </c>
      <c r="P45">
        <v>13.17</v>
      </c>
      <c r="Q45">
        <v>16.420000000000002</v>
      </c>
    </row>
    <row r="46" spans="12:17" x14ac:dyDescent="0.3">
      <c r="L46" t="s">
        <v>14</v>
      </c>
      <c r="M46">
        <v>18.260000000000002</v>
      </c>
      <c r="N46">
        <v>1.81</v>
      </c>
      <c r="O46">
        <v>0</v>
      </c>
      <c r="P46">
        <v>14.54</v>
      </c>
      <c r="Q46">
        <v>15.97</v>
      </c>
    </row>
    <row r="47" spans="12:17" x14ac:dyDescent="0.3">
      <c r="L47" t="s">
        <v>16</v>
      </c>
      <c r="M47">
        <v>16.920000000000002</v>
      </c>
      <c r="N47">
        <v>4.16</v>
      </c>
      <c r="O47">
        <v>0</v>
      </c>
      <c r="P47">
        <v>12.64</v>
      </c>
      <c r="Q47">
        <v>14.46</v>
      </c>
    </row>
    <row r="48" spans="12:17" x14ac:dyDescent="0.3">
      <c r="L48" t="s">
        <v>21</v>
      </c>
      <c r="M48">
        <v>10.65</v>
      </c>
      <c r="N48">
        <v>2.23</v>
      </c>
      <c r="O48">
        <v>0</v>
      </c>
      <c r="P48">
        <v>12.68</v>
      </c>
      <c r="Q48">
        <v>12.58</v>
      </c>
    </row>
    <row r="49" spans="12:17" x14ac:dyDescent="0.3">
      <c r="L49" t="s">
        <v>22</v>
      </c>
      <c r="M49">
        <v>8</v>
      </c>
      <c r="N49">
        <v>0.18</v>
      </c>
      <c r="O49">
        <v>0</v>
      </c>
      <c r="P49">
        <v>13.4</v>
      </c>
      <c r="Q49">
        <v>10.65</v>
      </c>
    </row>
    <row r="50" spans="12:17" x14ac:dyDescent="0.3">
      <c r="L50" t="s">
        <v>23</v>
      </c>
      <c r="M50">
        <v>-0.97</v>
      </c>
      <c r="N50">
        <v>0.44</v>
      </c>
      <c r="O50">
        <v>1.84</v>
      </c>
      <c r="P50">
        <v>12.88</v>
      </c>
      <c r="Q50">
        <v>8.91</v>
      </c>
    </row>
    <row r="51" spans="12:17" x14ac:dyDescent="0.3">
      <c r="L51" t="s">
        <v>24</v>
      </c>
      <c r="M51">
        <v>-5.83</v>
      </c>
      <c r="N51">
        <v>0.63</v>
      </c>
      <c r="O51">
        <v>4.5999999999999996</v>
      </c>
      <c r="P51">
        <v>10.36</v>
      </c>
      <c r="Q51">
        <v>7.95</v>
      </c>
    </row>
    <row r="54" spans="12:17" x14ac:dyDescent="0.3">
      <c r="M54" s="25">
        <v>2016</v>
      </c>
      <c r="N54" s="25"/>
      <c r="O54" s="25"/>
      <c r="P54" s="25"/>
    </row>
    <row r="55" spans="12:17" x14ac:dyDescent="0.3">
      <c r="M55" t="s">
        <v>0</v>
      </c>
      <c r="N55" t="s">
        <v>1</v>
      </c>
      <c r="O55" t="s">
        <v>2</v>
      </c>
      <c r="P55" t="s">
        <v>3</v>
      </c>
      <c r="Q55" t="s">
        <v>25</v>
      </c>
    </row>
    <row r="56" spans="12:17" x14ac:dyDescent="0.3">
      <c r="L56" t="s">
        <v>19</v>
      </c>
      <c r="M56">
        <v>-4.1550000000000002</v>
      </c>
      <c r="N56">
        <v>0.27500000000000002</v>
      </c>
      <c r="O56">
        <v>9.9499999999999993</v>
      </c>
      <c r="P56">
        <v>11.356249999999999</v>
      </c>
      <c r="Q56">
        <v>8.485833333333332</v>
      </c>
    </row>
    <row r="57" spans="12:17" x14ac:dyDescent="0.3">
      <c r="L57" t="s">
        <v>20</v>
      </c>
      <c r="M57">
        <v>1.145</v>
      </c>
      <c r="N57">
        <v>0.09</v>
      </c>
      <c r="O57">
        <v>0.3</v>
      </c>
      <c r="P57">
        <v>12.604166666666664</v>
      </c>
      <c r="Q57">
        <v>10.039814814814813</v>
      </c>
    </row>
    <row r="58" spans="12:17" x14ac:dyDescent="0.3">
      <c r="L58" t="s">
        <v>6</v>
      </c>
      <c r="M58">
        <v>2.7285714285714286</v>
      </c>
      <c r="N58">
        <v>0.21904761904761907</v>
      </c>
      <c r="O58">
        <v>0</v>
      </c>
      <c r="P58">
        <v>14.493875086266391</v>
      </c>
      <c r="Q58">
        <v>11.857142857142858</v>
      </c>
    </row>
    <row r="59" spans="12:17" x14ac:dyDescent="0.3">
      <c r="L59" t="s">
        <v>7</v>
      </c>
      <c r="M59">
        <v>9.1238095238095234</v>
      </c>
      <c r="N59">
        <v>0.11428571428571428</v>
      </c>
      <c r="O59">
        <v>0</v>
      </c>
      <c r="P59">
        <v>16.105158730158728</v>
      </c>
      <c r="Q59">
        <v>13.888095238095238</v>
      </c>
    </row>
    <row r="60" spans="12:17" x14ac:dyDescent="0.3">
      <c r="L60" t="s">
        <v>10</v>
      </c>
      <c r="M60">
        <v>11.123809523809523</v>
      </c>
      <c r="N60">
        <v>1.4666666666666666</v>
      </c>
      <c r="O60">
        <v>0</v>
      </c>
      <c r="P60">
        <v>16.283730158730162</v>
      </c>
      <c r="Q60">
        <v>15.544444444444443</v>
      </c>
    </row>
    <row r="61" spans="12:17" x14ac:dyDescent="0.3">
      <c r="L61" t="s">
        <v>12</v>
      </c>
      <c r="M61">
        <v>16.513636363636365</v>
      </c>
      <c r="N61">
        <v>1.9909090909090907</v>
      </c>
      <c r="O61">
        <v>0</v>
      </c>
      <c r="P61">
        <v>14.708333333333337</v>
      </c>
      <c r="Q61">
        <v>16.431060606060608</v>
      </c>
    </row>
    <row r="62" spans="12:17" x14ac:dyDescent="0.3">
      <c r="L62" t="s">
        <v>14</v>
      </c>
      <c r="M62">
        <v>17.024999999999999</v>
      </c>
      <c r="N62">
        <v>7.2349999999999994</v>
      </c>
      <c r="O62">
        <v>0</v>
      </c>
      <c r="P62">
        <v>12.851630434782606</v>
      </c>
      <c r="Q62">
        <v>15.939166666666669</v>
      </c>
    </row>
    <row r="63" spans="12:17" x14ac:dyDescent="0.3">
      <c r="L63" t="s">
        <v>16</v>
      </c>
      <c r="M63">
        <v>16.047826086956523</v>
      </c>
      <c r="N63">
        <v>1.8826086956521741</v>
      </c>
      <c r="O63">
        <v>0</v>
      </c>
      <c r="P63">
        <v>13.733695652173912</v>
      </c>
      <c r="Q63">
        <v>14.436231884057968</v>
      </c>
    </row>
    <row r="64" spans="12:17" x14ac:dyDescent="0.3">
      <c r="L64" t="s">
        <v>21</v>
      </c>
      <c r="M64">
        <v>11.147619047619047</v>
      </c>
      <c r="N64">
        <v>0.50952380952380949</v>
      </c>
      <c r="O64">
        <v>0</v>
      </c>
      <c r="P64">
        <v>11.41468253968254</v>
      </c>
      <c r="Q64">
        <v>12.47142857142857</v>
      </c>
    </row>
    <row r="65" spans="12:17" x14ac:dyDescent="0.3">
      <c r="L65" t="s">
        <v>22</v>
      </c>
      <c r="M65">
        <v>3.08</v>
      </c>
      <c r="N65">
        <v>0.73999999999999988</v>
      </c>
      <c r="O65">
        <v>0.2</v>
      </c>
      <c r="P65">
        <v>10.193750000000001</v>
      </c>
      <c r="Q65">
        <v>10.573333333333334</v>
      </c>
    </row>
    <row r="66" spans="12:17" x14ac:dyDescent="0.3">
      <c r="L66" t="s">
        <v>23</v>
      </c>
      <c r="M66">
        <v>2.1476190476190484</v>
      </c>
      <c r="N66">
        <v>0.12857142857142859</v>
      </c>
      <c r="O66">
        <v>9.5238095238095233E-2</v>
      </c>
      <c r="P66">
        <v>10.801587301587304</v>
      </c>
      <c r="Q66">
        <v>8.8801587301587297</v>
      </c>
    </row>
    <row r="67" spans="12:17" x14ac:dyDescent="0.3">
      <c r="L67" t="s">
        <v>24</v>
      </c>
      <c r="M67">
        <v>-10.295454545454543</v>
      </c>
      <c r="N67">
        <v>0.46363636363636362</v>
      </c>
      <c r="O67">
        <v>4.8181818181818183</v>
      </c>
      <c r="P67">
        <v>15.556818181818182</v>
      </c>
      <c r="Q67">
        <v>7.9689393939393929</v>
      </c>
    </row>
    <row r="70" spans="12:17" x14ac:dyDescent="0.3">
      <c r="M70" s="25">
        <v>2017</v>
      </c>
      <c r="N70" s="25"/>
      <c r="O70" s="25"/>
      <c r="P70" s="25"/>
    </row>
    <row r="71" spans="12:17" x14ac:dyDescent="0.3">
      <c r="M71" t="s">
        <v>0</v>
      </c>
      <c r="N71" t="s">
        <v>1</v>
      </c>
      <c r="O71" t="s">
        <v>2</v>
      </c>
      <c r="P71" t="s">
        <v>3</v>
      </c>
      <c r="Q71" t="s">
        <v>25</v>
      </c>
    </row>
    <row r="72" spans="12:17" x14ac:dyDescent="0.3">
      <c r="L72" t="s">
        <v>19</v>
      </c>
      <c r="M72">
        <v>-6.77</v>
      </c>
      <c r="N72">
        <v>0.33</v>
      </c>
      <c r="O72">
        <v>9.16</v>
      </c>
      <c r="P72">
        <v>12.85</v>
      </c>
      <c r="Q72">
        <v>8.48</v>
      </c>
    </row>
    <row r="73" spans="12:17" x14ac:dyDescent="0.3">
      <c r="L73" t="s">
        <v>20</v>
      </c>
      <c r="M73">
        <v>-7.08</v>
      </c>
      <c r="N73">
        <v>1.1000000000000001</v>
      </c>
      <c r="O73">
        <v>7.62</v>
      </c>
      <c r="P73">
        <v>12.05</v>
      </c>
      <c r="Q73">
        <v>10</v>
      </c>
    </row>
    <row r="74" spans="12:17" x14ac:dyDescent="0.3">
      <c r="L74" t="s">
        <v>6</v>
      </c>
      <c r="M74">
        <v>-2.41</v>
      </c>
      <c r="N74">
        <v>0.52</v>
      </c>
      <c r="O74">
        <v>3.88</v>
      </c>
      <c r="P74">
        <v>14.17</v>
      </c>
      <c r="Q74">
        <v>11.87</v>
      </c>
    </row>
    <row r="75" spans="12:17" x14ac:dyDescent="0.3">
      <c r="L75" t="s">
        <v>7</v>
      </c>
      <c r="M75">
        <v>4.8</v>
      </c>
      <c r="N75">
        <v>2.42</v>
      </c>
      <c r="O75">
        <v>1</v>
      </c>
      <c r="P75">
        <v>13.39</v>
      </c>
      <c r="Q75">
        <v>13.82</v>
      </c>
    </row>
    <row r="76" spans="12:17" x14ac:dyDescent="0.3">
      <c r="L76" t="s">
        <v>10</v>
      </c>
      <c r="M76">
        <v>12.69</v>
      </c>
      <c r="N76">
        <v>1.22</v>
      </c>
      <c r="O76">
        <v>0</v>
      </c>
      <c r="P76">
        <v>14.95</v>
      </c>
      <c r="Q76">
        <v>15.52</v>
      </c>
    </row>
    <row r="77" spans="12:17" x14ac:dyDescent="0.3">
      <c r="L77" t="s">
        <v>12</v>
      </c>
      <c r="M77">
        <v>15.75</v>
      </c>
      <c r="N77">
        <v>1.38</v>
      </c>
      <c r="O77">
        <v>0</v>
      </c>
      <c r="P77">
        <v>16.649999999999999</v>
      </c>
      <c r="Q77">
        <v>16.420000000000002</v>
      </c>
    </row>
    <row r="78" spans="12:17" x14ac:dyDescent="0.3">
      <c r="L78" t="s">
        <v>14</v>
      </c>
      <c r="M78">
        <v>19.350000000000001</v>
      </c>
      <c r="N78">
        <v>1.79</v>
      </c>
      <c r="O78">
        <v>0</v>
      </c>
      <c r="P78">
        <v>14.05</v>
      </c>
      <c r="Q78">
        <v>15.97</v>
      </c>
    </row>
    <row r="79" spans="12:17" x14ac:dyDescent="0.3">
      <c r="L79" t="s">
        <v>16</v>
      </c>
      <c r="M79">
        <v>17.510000000000002</v>
      </c>
      <c r="N79">
        <v>0.99</v>
      </c>
      <c r="O79">
        <v>0</v>
      </c>
      <c r="P79">
        <v>12.12</v>
      </c>
      <c r="Q79">
        <v>14.46</v>
      </c>
    </row>
    <row r="80" spans="12:17" x14ac:dyDescent="0.3">
      <c r="L80" t="s">
        <v>21</v>
      </c>
      <c r="M80">
        <v>12.62</v>
      </c>
      <c r="N80">
        <v>0.67</v>
      </c>
      <c r="O80">
        <v>0</v>
      </c>
      <c r="P80">
        <v>12.11</v>
      </c>
      <c r="Q80">
        <v>12.58</v>
      </c>
    </row>
    <row r="81" spans="12:17" x14ac:dyDescent="0.3">
      <c r="L81" t="s">
        <v>22</v>
      </c>
      <c r="M81">
        <v>5.56</v>
      </c>
      <c r="N81">
        <v>0.46</v>
      </c>
      <c r="O81">
        <v>0.09</v>
      </c>
      <c r="P81">
        <v>18.21</v>
      </c>
      <c r="Q81">
        <v>10.65</v>
      </c>
    </row>
    <row r="82" spans="12:17" x14ac:dyDescent="0.3">
      <c r="L82" t="s">
        <v>23</v>
      </c>
      <c r="M82">
        <v>-3.43</v>
      </c>
      <c r="N82">
        <v>0.85</v>
      </c>
      <c r="O82">
        <v>5</v>
      </c>
      <c r="P82">
        <v>14.72</v>
      </c>
      <c r="Q82">
        <v>8.91</v>
      </c>
    </row>
    <row r="83" spans="12:17" x14ac:dyDescent="0.3">
      <c r="L83" t="s">
        <v>24</v>
      </c>
      <c r="M83">
        <v>-7.4</v>
      </c>
      <c r="N83">
        <v>0.99</v>
      </c>
      <c r="O83">
        <v>4.83</v>
      </c>
      <c r="P83">
        <v>12.95</v>
      </c>
      <c r="Q83">
        <v>7.95</v>
      </c>
    </row>
    <row r="88" spans="12:17" x14ac:dyDescent="0.3">
      <c r="M88" s="25" t="s">
        <v>62</v>
      </c>
      <c r="N88" s="25"/>
      <c r="O88" s="25"/>
      <c r="P88" s="25"/>
    </row>
    <row r="89" spans="12:17" x14ac:dyDescent="0.3">
      <c r="M89" t="s">
        <v>0</v>
      </c>
      <c r="N89" t="s">
        <v>1</v>
      </c>
      <c r="O89" t="s">
        <v>2</v>
      </c>
      <c r="P89" t="s">
        <v>3</v>
      </c>
      <c r="Q89" t="s">
        <v>25</v>
      </c>
    </row>
    <row r="90" spans="12:17" x14ac:dyDescent="0.3">
      <c r="L90" t="s">
        <v>19</v>
      </c>
      <c r="M90">
        <f>'Cycling usage estimation'!J43</f>
        <v>0</v>
      </c>
      <c r="N90">
        <f>'Cycling usage estimation'!K43</f>
        <v>0</v>
      </c>
      <c r="O90">
        <f>'Cycling usage estimation'!L43</f>
        <v>0</v>
      </c>
      <c r="P90">
        <f>'Cycling usage estimation'!M43</f>
        <v>0</v>
      </c>
      <c r="Q90">
        <f>'Cycling usage estimation'!N43</f>
        <v>0</v>
      </c>
    </row>
    <row r="91" spans="12:17" x14ac:dyDescent="0.3">
      <c r="L91" t="s">
        <v>20</v>
      </c>
      <c r="M91">
        <f>'Cycling usage estimation'!J44</f>
        <v>0</v>
      </c>
      <c r="N91">
        <f>'Cycling usage estimation'!K44</f>
        <v>0</v>
      </c>
      <c r="O91">
        <f>'Cycling usage estimation'!L44</f>
        <v>0</v>
      </c>
      <c r="P91">
        <f>'Cycling usage estimation'!M44</f>
        <v>0</v>
      </c>
      <c r="Q91">
        <f>'Cycling usage estimation'!N44</f>
        <v>0</v>
      </c>
    </row>
    <row r="92" spans="12:17" x14ac:dyDescent="0.3">
      <c r="L92" t="s">
        <v>6</v>
      </c>
      <c r="M92">
        <f>'Cycling usage estimation'!J45</f>
        <v>0</v>
      </c>
      <c r="N92">
        <f>'Cycling usage estimation'!K45</f>
        <v>0</v>
      </c>
      <c r="O92">
        <f>'Cycling usage estimation'!L45</f>
        <v>0</v>
      </c>
      <c r="P92">
        <f>'Cycling usage estimation'!M45</f>
        <v>0</v>
      </c>
      <c r="Q92">
        <f>'Cycling usage estimation'!N45</f>
        <v>0</v>
      </c>
    </row>
    <row r="93" spans="12:17" x14ac:dyDescent="0.3">
      <c r="L93" t="s">
        <v>7</v>
      </c>
      <c r="M93">
        <f>'Cycling usage estimation'!J46</f>
        <v>0</v>
      </c>
      <c r="N93">
        <f>'Cycling usage estimation'!K46</f>
        <v>0</v>
      </c>
      <c r="O93">
        <f>'Cycling usage estimation'!L46</f>
        <v>0</v>
      </c>
      <c r="P93">
        <f>'Cycling usage estimation'!M46</f>
        <v>0</v>
      </c>
      <c r="Q93">
        <f>'Cycling usage estimation'!N46</f>
        <v>0</v>
      </c>
    </row>
    <row r="94" spans="12:17" x14ac:dyDescent="0.3">
      <c r="L94" t="s">
        <v>10</v>
      </c>
      <c r="M94">
        <f>'Cycling usage estimation'!J47</f>
        <v>0</v>
      </c>
      <c r="N94">
        <f>'Cycling usage estimation'!K47</f>
        <v>0</v>
      </c>
      <c r="O94">
        <f>'Cycling usage estimation'!L47</f>
        <v>0</v>
      </c>
      <c r="P94">
        <f>'Cycling usage estimation'!M47</f>
        <v>0</v>
      </c>
      <c r="Q94">
        <f>'Cycling usage estimation'!N47</f>
        <v>0</v>
      </c>
    </row>
    <row r="95" spans="12:17" x14ac:dyDescent="0.3">
      <c r="L95" t="s">
        <v>12</v>
      </c>
      <c r="M95">
        <f>'Cycling usage estimation'!J48</f>
        <v>0</v>
      </c>
      <c r="N95">
        <f>'Cycling usage estimation'!K48</f>
        <v>0</v>
      </c>
      <c r="O95">
        <f>'Cycling usage estimation'!L48</f>
        <v>0</v>
      </c>
      <c r="P95">
        <f>'Cycling usage estimation'!M48</f>
        <v>0</v>
      </c>
      <c r="Q95">
        <f>'Cycling usage estimation'!N48</f>
        <v>0</v>
      </c>
    </row>
    <row r="96" spans="12:17" x14ac:dyDescent="0.3">
      <c r="L96" t="s">
        <v>14</v>
      </c>
      <c r="M96">
        <f>'Cycling usage estimation'!J49</f>
        <v>0</v>
      </c>
      <c r="N96">
        <f>'Cycling usage estimation'!K49</f>
        <v>0</v>
      </c>
      <c r="O96">
        <f>'Cycling usage estimation'!L49</f>
        <v>0</v>
      </c>
      <c r="P96">
        <f>'Cycling usage estimation'!M49</f>
        <v>0</v>
      </c>
      <c r="Q96">
        <f>'Cycling usage estimation'!N49</f>
        <v>0</v>
      </c>
    </row>
    <row r="97" spans="12:17" x14ac:dyDescent="0.3">
      <c r="L97" t="s">
        <v>16</v>
      </c>
      <c r="M97">
        <f>'Cycling usage estimation'!J50</f>
        <v>0</v>
      </c>
      <c r="N97">
        <f>'Cycling usage estimation'!K50</f>
        <v>0</v>
      </c>
      <c r="O97">
        <f>'Cycling usage estimation'!L50</f>
        <v>0</v>
      </c>
      <c r="P97">
        <f>'Cycling usage estimation'!M50</f>
        <v>0</v>
      </c>
      <c r="Q97">
        <f>'Cycling usage estimation'!N50</f>
        <v>0</v>
      </c>
    </row>
    <row r="98" spans="12:17" x14ac:dyDescent="0.3">
      <c r="L98" t="s">
        <v>21</v>
      </c>
      <c r="M98">
        <f>'Cycling usage estimation'!J51</f>
        <v>0</v>
      </c>
      <c r="N98">
        <f>'Cycling usage estimation'!K51</f>
        <v>0</v>
      </c>
      <c r="O98">
        <f>'Cycling usage estimation'!L51</f>
        <v>0</v>
      </c>
      <c r="P98">
        <f>'Cycling usage estimation'!M51</f>
        <v>0</v>
      </c>
      <c r="Q98">
        <f>'Cycling usage estimation'!N51</f>
        <v>0</v>
      </c>
    </row>
    <row r="99" spans="12:17" x14ac:dyDescent="0.3">
      <c r="L99" t="s">
        <v>22</v>
      </c>
      <c r="M99">
        <f>'Cycling usage estimation'!J52</f>
        <v>0</v>
      </c>
      <c r="N99">
        <f>'Cycling usage estimation'!K52</f>
        <v>0</v>
      </c>
      <c r="O99">
        <f>'Cycling usage estimation'!L52</f>
        <v>0</v>
      </c>
      <c r="P99">
        <f>'Cycling usage estimation'!M52</f>
        <v>0</v>
      </c>
      <c r="Q99">
        <f>'Cycling usage estimation'!N52</f>
        <v>0</v>
      </c>
    </row>
    <row r="100" spans="12:17" x14ac:dyDescent="0.3">
      <c r="L100" t="s">
        <v>23</v>
      </c>
      <c r="M100">
        <f>'Cycling usage estimation'!J53</f>
        <v>0</v>
      </c>
      <c r="N100">
        <f>'Cycling usage estimation'!K53</f>
        <v>0</v>
      </c>
      <c r="O100">
        <f>'Cycling usage estimation'!L53</f>
        <v>0</v>
      </c>
      <c r="P100">
        <f>'Cycling usage estimation'!M53</f>
        <v>0</v>
      </c>
      <c r="Q100">
        <f>'Cycling usage estimation'!N53</f>
        <v>0</v>
      </c>
    </row>
    <row r="101" spans="12:17" x14ac:dyDescent="0.3">
      <c r="L101" t="s">
        <v>24</v>
      </c>
      <c r="M101">
        <f>'Cycling usage estimation'!J54</f>
        <v>0</v>
      </c>
      <c r="N101">
        <f>'Cycling usage estimation'!K54</f>
        <v>0</v>
      </c>
      <c r="O101">
        <f>'Cycling usage estimation'!L54</f>
        <v>0</v>
      </c>
      <c r="P101">
        <f>'Cycling usage estimation'!M54</f>
        <v>0</v>
      </c>
      <c r="Q101">
        <f>'Cycling usage estimation'!N54</f>
        <v>0</v>
      </c>
    </row>
  </sheetData>
  <mergeCells count="7">
    <mergeCell ref="M88:P88"/>
    <mergeCell ref="M70:P70"/>
    <mergeCell ref="I1:J1"/>
    <mergeCell ref="M5:P5"/>
    <mergeCell ref="M22:P22"/>
    <mergeCell ref="M38:P38"/>
    <mergeCell ref="M54:P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Cycling usage estimation</vt:lpstr>
      <vt:lpstr>analysis</vt:lpstr>
      <vt:lpstr>Models</vt:lpstr>
      <vt:lpstr>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siroos shahriari</dc:creator>
  <cp:lastModifiedBy>Siroos Shahriari</cp:lastModifiedBy>
  <dcterms:created xsi:type="dcterms:W3CDTF">2018-03-04T20:43:26Z</dcterms:created>
  <dcterms:modified xsi:type="dcterms:W3CDTF">2022-04-10T07:24:27Z</dcterms:modified>
</cp:coreProperties>
</file>